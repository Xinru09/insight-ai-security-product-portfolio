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82038c139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总览" sheetId="1" r:id="Rf0c157fd1a3d4dcc"/>
    <x:sheet xmlns:r="http://schemas.openxmlformats.org/officeDocument/2006/relationships" name="RICE优先级" sheetId="2" r:id="Rb256cfea0e5c48eb"/>
    <x:sheet xmlns:r="http://schemas.openxmlformats.org/officeDocument/2006/relationships" name="季度甘特图" sheetId="3" r:id="Rb811a797a2fd456e"/>
    <x:sheet xmlns:r="http://schemas.openxmlformats.org/officeDocument/2006/relationships" name="指标与里程碑" sheetId="4" r:id="Re7a2db4c5fa74e59"/>
  </x:sheets>
</x:workbook>
</file>

<file path=xl/comments1.xml><?xml version="1.0" encoding="utf-8"?>
<x:comments xmlns:x="http://schemas.openxmlformats.org/spreadsheetml/2006/main">
  <x:authors>
    <x:author>tc={DBB3B5D5-2664-4F07-B06C-420223E9B0F3}</x:author>
  </x:authors>
  <x:commentList>
    <x:comment ref="I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RICE 公式：Reach × Impact × Confidence ÷ Effort。修改 E-H 列后自动更新。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%"/>
    <x:numFmt numFmtId="202" formatCode=";;;"/>
  </x:numFmts>
  <x:fonts count="17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72B4D"/>
      <x:name val="Carlito"/>
    </x:font>
    <x:font>
      <x:b/>
      <x:sz val="11"/>
      <x:color rgb="FFFFFFFF"/>
      <x:name val="Carlito"/>
    </x:font>
    <x:font>
      <x:sz val="11"/>
      <x:color rgb="FF24324A"/>
      <x:name val="Carlito"/>
    </x:font>
    <x:font>
      <x:b/>
      <x:sz val="12"/>
      <x:color rgb="FFFFFFFF"/>
      <x:name val="Carlito"/>
    </x:font>
    <x:font>
      <x:b/>
      <x:sz val="11"/>
      <x:color rgb="FF172B4D"/>
      <x:name val="Carlito"/>
    </x:font>
    <x:font>
      <x:sz val="9"/>
      <x:color rgb="FF24324A"/>
      <x:name val="Carlito"/>
    </x:font>
    <x:font>
      <x:b/>
      <x:sz val="9"/>
      <x:color rgb="FF172B4D"/>
      <x:name val="Carlito"/>
    </x:font>
    <x:font>
      <x:b/>
      <x:sz val="11"/>
      <x:color rgb="FF16856A"/>
      <x:name val="Carlito"/>
    </x:font>
    <x:font>
      <x:b/>
      <x:sz val="11"/>
      <x:color rgb="FFD6534D"/>
      <x:name val="Carlito"/>
    </x:font>
    <x:font>
      <x:sz val="10"/>
      <x:color rgb="FF24324A"/>
      <x:name val="Carlito"/>
    </x:font>
    <x:font>
      <x:sz val="10"/>
      <x:color rgb="FF8B5B12"/>
      <x:name val="Carlito"/>
    </x:font>
    <x:font>
      <x:b/>
      <x:sz val="9"/>
      <x:color rgb="FF2F6FED"/>
      <x:name val="Carlito"/>
    </x:font>
    <x:font>
      <x:sz val="11"/>
      <x:color rgb="FFFFFFFF"/>
      <x:name val="Carlito"/>
    </x:font>
    <x:font>
      <x:b/>
      <x:sz val="10"/>
      <x:color rgb="FF172B4D"/>
      <x:name val="Carlito"/>
    </x:font>
    <x:font>
      <x:b/>
      <x:sz val="10"/>
      <x:color rgb="FF16856A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EAF1FF"/>
      </x:patternFill>
    </x:fill>
    <x:fill>
      <x:patternFill patternType="solid">
        <x:fgColor rgb="FFFFFFFF"/>
      </x:patternFill>
    </x:fill>
    <x:fill>
      <x:patternFill patternType="solid">
        <x:fgColor rgb="FFF5F7FA"/>
      </x:patternFill>
    </x:fill>
    <x:fill>
      <x:patternFill patternType="solid">
        <x:fgColor rgb="FFE7F5EF"/>
      </x:patternFill>
    </x:fill>
    <x:fill>
      <x:patternFill patternType="solid">
        <x:fgColor rgb="FFFFF3DF"/>
      </x:patternFill>
    </x:fill>
    <x:fill>
      <x:patternFill patternType="solid">
        <x:fgColor rgb="FFF2ECFF"/>
      </x:patternFill>
    </x:fill>
    <x:fill>
      <x:patternFill patternType="solid">
        <x:fgColor rgb="FFE9F7FA"/>
      </x:patternFill>
    </x:fill>
    <x:fill>
      <x:patternFill patternType="solid">
        <x:fgColor rgb="FFFDECEB"/>
      </x:patternFill>
    </x:fill>
    <x:fill>
      <x:patternFill patternType="solid">
        <x:fgColor rgb="FFF5F9FF"/>
      </x:patternFill>
    </x:fill>
  </x:fills>
  <x:borders count="18">
    <x:border/>
    <x:border>
      <x:left style="thin">
        <x:color rgb="FFDCE3ED"/>
      </x:left>
      <x:top style="thin">
        <x:color rgb="FFDCE3ED"/>
      </x:top>
    </x:border>
    <x:border>
      <x:top style="thin">
        <x:color rgb="FFDCE3ED"/>
      </x:top>
    </x:border>
    <x:border>
      <x:right style="thin">
        <x:color rgb="FFDCE3ED"/>
      </x:right>
      <x:top style="thin">
        <x:color rgb="FFDCE3ED"/>
      </x:top>
    </x:border>
    <x:border>
      <x:left style="thin">
        <x:color rgb="FFDCE3ED"/>
      </x:left>
    </x:border>
    <x:border>
      <x:right style="thin">
        <x:color rgb="FFDCE3ED"/>
      </x:right>
    </x:border>
    <x:border>
      <x:left style="thin">
        <x:color rgb="FFDCE3ED"/>
      </x:left>
      <x:bottom style="thin">
        <x:color rgb="FFDCE3ED"/>
      </x:bottom>
    </x:border>
    <x:border>
      <x:bottom style="thin">
        <x:color rgb="FFDCE3ED"/>
      </x:bottom>
    </x:border>
    <x:border>
      <x:right style="thin">
        <x:color rgb="FFDCE3ED"/>
      </x:right>
      <x:bottom style="thin">
        <x:color rgb="FFDCE3ED"/>
      </x:bottom>
    </x:border>
    <x:border>
      <x:left style="thin">
        <x:color rgb="FFDCE3ED"/>
      </x:left>
      <x:right style="thin">
        <x:color rgb="FFDCE3ED"/>
      </x:right>
      <x:top style="thin">
        <x:color rgb="FFDCE3ED"/>
      </x:top>
      <x:bottom style="thin">
        <x:color rgb="FFDCE3ED"/>
      </x:bottom>
    </x:border>
    <x:border>
      <x:right style="thin">
        <x:color rgb="FF49607F"/>
      </x:right>
    </x:border>
    <x:border>
      <x:left style="thin">
        <x:color rgb="FF49607F"/>
      </x:left>
      <x:right style="thin">
        <x:color rgb="FF49607F"/>
      </x:right>
    </x:border>
    <x:border>
      <x:left style="thin">
        <x:color rgb="FF49607F"/>
      </x:left>
    </x:border>
    <x:border>
      <x:top style="thin">
        <x:color rgb="FFDCE3ED"/>
      </x:top>
      <x:bottom style="thin">
        <x:color rgb="FFDCE3ED"/>
      </x:bottom>
    </x:border>
    <x:border>
      <x:left style="thin">
        <x:color rgb="FFDCE3ED"/>
      </x:left>
      <x:right style="thin">
        <x:color rgb="FFDCE3ED"/>
      </x:right>
      <x:bottom style="thin">
        <x:color rgb="FFDCE3ED"/>
      </x:bottom>
    </x:border>
    <x:border>
      <x:right style="thin">
        <x:color rgb="FFDCE3ED"/>
      </x:right>
      <x:top style="thin">
        <x:color rgb="FFDCE3ED"/>
      </x:top>
      <x:bottom style="thin">
        <x:color rgb="FFDCE3ED"/>
      </x:bottom>
    </x:border>
    <x:border>
      <x:left style="thin">
        <x:color rgb="FFDCE3ED"/>
      </x:left>
      <x:top style="thin">
        <x:color rgb="FFDCE3ED"/>
      </x:top>
      <x:bottom style="thin">
        <x:color rgb="FFDCE3ED"/>
      </x:bottom>
    </x:border>
    <x:border>
      <x:left style="thin">
        <x:color rgb="FFDCE3ED"/>
      </x:left>
      <x:right style="thin">
        <x:color rgb="FFDCE3ED"/>
      </x:right>
      <x:top style="thin">
        <x:color rgb="FFDCE3ED"/>
      </x:top>
    </x:border>
  </x:borders>
  <x:cellStyleXfs count="1">
    <x:xf numFmtId="0" fontId="0" fillId="0" borderId="0"/>
  </x:cellStyleXfs>
  <x:cellXfs count="1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5" xfId="0" applyNumberFormat="1" applyFont="1" applyFill="1" applyBorder="1" applyAlignment="1">
      <x:alignment horizontal="center" wrapText="1"/>
    </x:xf>
    <x:xf numFmtId="0" fontId="4" fillId="4" borderId="6" xfId="0" applyNumberFormat="1" applyFont="1" applyFill="1" applyBorder="1" applyAlignment="1">
      <x:alignment horizontal="center" wrapText="1"/>
    </x:xf>
    <x:xf numFmtId="0" fontId="4" fillId="4" borderId="7" xfId="0" applyNumberFormat="1" applyFont="1" applyFill="1" applyBorder="1" applyAlignment="1">
      <x:alignment horizontal="center" wrapText="1"/>
    </x:xf>
    <x:xf numFmtId="0" fontId="4" fillId="4" borderId="8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0" fontId="4" fillId="4" borderId="8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9" xfId="0" applyNumberFormat="1" applyFont="1" applyFill="1" applyBorder="1"/>
    <x:xf numFmtId="0" fontId="7" fillId="0" borderId="9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horizontal="center" wrapText="1"/>
    </x:xf>
    <x:xf numFmtId="0" fontId="7" fillId="0" borderId="9" xfId="0" applyNumberFormat="1" applyFont="1" applyFill="1" applyBorder="1" applyAlignment="1">
      <x:alignment horizontal="center" vertical="center" wrapText="1"/>
    </x:xf>
    <x:xf numFmtId="0" fontId="7" fillId="5" borderId="9" xfId="0" applyNumberFormat="1" applyFont="1" applyFill="1" applyBorder="1" applyAlignment="1">
      <x:alignment horizontal="center" vertical="center" wrapText="1"/>
    </x:xf>
    <x:xf numFmtId="0" fontId="8" fillId="5" borderId="9" xfId="0" applyNumberFormat="1" applyFont="1" applyFill="1" applyBorder="1" applyAlignment="1">
      <x:alignment horizontal="center" vertical="center" wrapText="1"/>
    </x:xf>
    <x:xf numFmtId="0" fontId="8" fillId="5" borderId="9" xfId="0" applyNumberFormat="1" applyFont="1" applyFill="1" applyBorder="1" applyAlignment="1">
      <x:alignment horizontal="left" vertical="center" wrapText="1"/>
    </x:xf>
    <x:xf numFmtId="0" fontId="7" fillId="3" borderId="9" xfId="0" applyNumberFormat="1" applyFont="1" applyFill="1" applyBorder="1" applyAlignment="1">
      <x:alignment horizontal="center" vertical="center" wrapText="1"/>
    </x:xf>
    <x:xf numFmtId="0" fontId="7" fillId="6" borderId="9" xfId="0" applyNumberFormat="1" applyFont="1" applyFill="1" applyBorder="1" applyAlignment="1">
      <x:alignment horizontal="center" vertical="center" wrapText="1"/>
    </x:xf>
    <x:xf numFmtId="0" fontId="7" fillId="7" borderId="9" xfId="0" applyNumberFormat="1" applyFont="1" applyFill="1" applyBorder="1" applyAlignment="1">
      <x:alignment horizontal="center" vertical="center" wrapText="1"/>
    </x:xf>
    <x:xf numFmtId="0" fontId="7" fillId="8" borderId="9" xfId="0" applyNumberFormat="1" applyFont="1" applyFill="1" applyBorder="1" applyAlignment="1">
      <x:alignment horizontal="center" vertical="center" wrapText="1"/>
    </x:xf>
    <x:xf numFmtId="0" fontId="7" fillId="9" borderId="9" xfId="0" applyNumberFormat="1" applyFont="1" applyFill="1" applyBorder="1" applyAlignment="1">
      <x:alignment horizontal="center" vertical="center" wrapText="1"/>
    </x:xf>
    <x:xf numFmtId="0" fontId="7" fillId="10" borderId="9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vertical="center" wrapText="1"/>
    </x:xf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vertical="center" wrapText="1"/>
    </x:xf>
    <x:xf numFmtId="0" fontId="3" fillId="2" borderId="11" xfId="0" applyNumberFormat="1" applyFont="1" applyFill="1" applyBorder="1" applyAlignment="1">
      <x:alignment vertical="center" wrapText="1"/>
    </x:xf>
    <x:xf numFmtId="0" fontId="3" fillId="2" borderId="12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7" xfId="0" applyNumberFormat="1" applyFont="1" applyFill="1" applyBorder="1"/>
    <x:xf numFmtId="0" fontId="11" fillId="0" borderId="13" xfId="0" applyNumberFormat="1" applyFont="1" applyFill="1" applyBorder="1"/>
    <x:xf numFmtId="0" fontId="11" fillId="0" borderId="7" xfId="0" applyNumberFormat="1" applyFont="1" applyFill="1" applyBorder="1" applyAlignment="1">
      <x:alignment wrapText="1"/>
    </x:xf>
    <x:xf numFmtId="0" fontId="11" fillId="0" borderId="13" xfId="0" applyNumberFormat="1" applyFont="1" applyFill="1" applyBorder="1" applyAlignment="1">
      <x:alignment wrapText="1"/>
    </x:xf>
    <x:xf numFmtId="0" fontId="11" fillId="0" borderId="7" xfId="0" applyNumberFormat="1" applyFont="1" applyFill="1" applyBorder="1" applyAlignment="1">
      <x:alignment vertical="center" wrapText="1"/>
    </x:xf>
    <x:xf numFmtId="0" fontId="11" fillId="0" borderId="13" xfId="0" applyNumberFormat="1" applyFont="1" applyFill="1" applyBorder="1" applyAlignment="1">
      <x:alignment vertical="center" wrapText="1"/>
    </x:xf>
    <x:xf numFmtId="200" fontId="11" fillId="0" borderId="7" xfId="0" applyNumberFormat="1" applyFont="1" applyFill="1" applyBorder="1" applyAlignment="1">
      <x:alignment vertical="center" wrapText="1"/>
    </x:xf>
    <x:xf numFmtId="200" fontId="11" fillId="0" borderId="13" xfId="0" applyNumberFormat="1" applyFont="1" applyFill="1" applyBorder="1" applyAlignment="1">
      <x:alignment vertical="center" wrapText="1"/>
    </x:xf>
    <x:xf numFmtId="201" fontId="11" fillId="0" borderId="7" xfId="0" applyNumberFormat="1" applyFont="1" applyFill="1" applyBorder="1" applyAlignment="1">
      <x:alignment vertical="center" wrapText="1"/>
    </x:xf>
    <x:xf numFmtId="201" fontId="11" fillId="0" borderId="13" xfId="0" applyNumberFormat="1" applyFont="1" applyFill="1" applyBorder="1" applyAlignment="1">
      <x:alignment vertical="center" wrapText="1"/>
    </x:xf>
    <x:xf numFmtId="0" fontId="11" fillId="0" borderId="7" xfId="0" applyNumberFormat="1" applyFont="1" applyFill="1" applyBorder="1" applyAlignment="1">
      <x:alignment horizontal="center" vertical="center" wrapText="1"/>
    </x:xf>
    <x:xf numFmtId="0" fontId="11" fillId="0" borderId="13" xfId="0" applyNumberFormat="1" applyFont="1" applyFill="1" applyBorder="1" applyAlignment="1">
      <x:alignment horizontal="center" vertical="center" wrapText="1"/>
    </x:xf>
    <x:xf numFmtId="200" fontId="11" fillId="0" borderId="7" xfId="0" applyNumberFormat="1" applyFont="1" applyFill="1" applyBorder="1" applyAlignment="1">
      <x:alignment horizontal="center" vertical="center" wrapText="1"/>
    </x:xf>
    <x:xf numFmtId="201" fontId="11" fillId="0" borderId="7" xfId="0" applyNumberFormat="1" applyFont="1" applyFill="1" applyBorder="1" applyAlignment="1">
      <x:alignment horizontal="center" vertical="center" wrapText="1"/>
    </x:xf>
    <x:xf numFmtId="200" fontId="11" fillId="0" borderId="13" xfId="0" applyNumberFormat="1" applyFont="1" applyFill="1" applyBorder="1" applyAlignment="1">
      <x:alignment horizontal="center" vertical="center" wrapText="1"/>
    </x:xf>
    <x:xf numFmtId="201" fontId="11" fillId="0" borderId="13" xfId="0" applyNumberFormat="1" applyFont="1" applyFill="1" applyBorder="1" applyAlignment="1">
      <x:alignment horizontal="center" vertical="center" wrapText="1"/>
    </x:xf>
    <x:xf numFmtId="0" fontId="11" fillId="11" borderId="7" xfId="0" applyNumberFormat="1" applyFont="1" applyFill="1" applyBorder="1" applyAlignment="1">
      <x:alignment horizontal="center" vertical="center" wrapText="1"/>
    </x:xf>
    <x:xf numFmtId="0" fontId="11" fillId="11" borderId="7" xfId="0" applyNumberFormat="1" applyFont="1" applyFill="1" applyBorder="1" applyAlignment="1">
      <x:alignment vertical="center" wrapText="1"/>
    </x:xf>
    <x:xf numFmtId="200" fontId="11" fillId="11" borderId="7" xfId="0" applyNumberFormat="1" applyFont="1" applyFill="1" applyBorder="1" applyAlignment="1">
      <x:alignment horizontal="center" vertical="center" wrapText="1"/>
    </x:xf>
    <x:xf numFmtId="201" fontId="11" fillId="11" borderId="7" xfId="0" applyNumberFormat="1" applyFont="1" applyFill="1" applyBorder="1" applyAlignment="1">
      <x:alignment horizontal="center" vertical="center" wrapText="1"/>
    </x:xf>
    <x:xf numFmtId="0" fontId="11" fillId="11" borderId="13" xfId="0" applyNumberFormat="1" applyFont="1" applyFill="1" applyBorder="1" applyAlignment="1">
      <x:alignment horizontal="center" vertical="center" wrapText="1"/>
    </x:xf>
    <x:xf numFmtId="0" fontId="11" fillId="11" borderId="13" xfId="0" applyNumberFormat="1" applyFont="1" applyFill="1" applyBorder="1" applyAlignment="1">
      <x:alignment vertical="center" wrapText="1"/>
    </x:xf>
    <x:xf numFmtId="200" fontId="11" fillId="11" borderId="13" xfId="0" applyNumberFormat="1" applyFont="1" applyFill="1" applyBorder="1" applyAlignment="1">
      <x:alignment horizontal="center" vertical="center" wrapText="1"/>
    </x:xf>
    <x:xf numFmtId="201" fontId="11" fillId="11" borderId="1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vertical="center" wrapText="1"/>
    </x:xf>
    <x:xf numFmtId="202" fontId="11" fillId="0" borderId="7" xfId="0" applyNumberFormat="1" applyFont="1" applyFill="1" applyBorder="1" applyAlignment="1">
      <x:alignment vertical="center" wrapText="1"/>
    </x:xf>
    <x:xf numFmtId="202" fontId="11" fillId="0" borderId="13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/>
    <x:xf numFmtId="0" fontId="7" fillId="0" borderId="14" xfId="0" applyNumberFormat="1" applyFont="1" applyFill="1" applyBorder="1"/>
    <x:xf numFmtId="0" fontId="7" fillId="0" borderId="6" xfId="0" applyNumberFormat="1" applyFont="1" applyFill="1" applyBorder="1"/>
    <x:xf numFmtId="0" fontId="7" fillId="0" borderId="15" xfId="0" applyNumberFormat="1" applyFont="1" applyFill="1" applyBorder="1"/>
    <x:xf numFmtId="0" fontId="7" fillId="0" borderId="16" xfId="0" applyNumberFormat="1" applyFont="1" applyFill="1" applyBorder="1"/>
    <x:xf numFmtId="0" fontId="7" fillId="0" borderId="3" xfId="0" applyNumberFormat="1" applyFont="1" applyFill="1" applyBorder="1"/>
    <x:xf numFmtId="0" fontId="7" fillId="0" borderId="17" xfId="0" applyNumberFormat="1" applyFont="1" applyFill="1" applyBorder="1"/>
    <x:xf numFmtId="0" fontId="7" fillId="0" borderId="1" xfId="0" applyNumberFormat="1" applyFont="1" applyFill="1" applyBorder="1"/>
    <x:xf numFmtId="0" fontId="7" fillId="0" borderId="8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15" xfId="0" applyNumberFormat="1" applyFont="1" applyFill="1" applyBorder="1" applyAlignment="1">
      <x:alignment wrapText="1"/>
    </x:xf>
    <x:xf numFmtId="0" fontId="7" fillId="0" borderId="16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17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14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15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7" fillId="0" borderId="16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17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3" borderId="8" xfId="0" applyNumberFormat="1" applyFont="1" applyFill="1" applyBorder="1" applyAlignment="1">
      <x:alignment vertical="center" wrapText="1"/>
    </x:xf>
    <x:xf numFmtId="0" fontId="7" fillId="3" borderId="15" xfId="0" applyNumberFormat="1" applyFont="1" applyFill="1" applyBorder="1" applyAlignment="1">
      <x:alignment vertical="center" wrapText="1"/>
    </x:xf>
    <x:xf numFmtId="0" fontId="7" fillId="3" borderId="3" xfId="0" applyNumberFormat="1" applyFont="1" applyFill="1" applyBorder="1" applyAlignment="1">
      <x:alignment vertical="center" wrapText="1"/>
    </x:xf>
    <x:xf numFmtId="0" fontId="13" fillId="3" borderId="8" xfId="0" applyNumberFormat="1" applyFont="1" applyFill="1" applyBorder="1" applyAlignment="1">
      <x:alignment vertical="center" wrapText="1"/>
    </x:xf>
    <x:xf numFmtId="0" fontId="13" fillId="3" borderId="15" xfId="0" applyNumberFormat="1" applyFont="1" applyFill="1" applyBorder="1" applyAlignment="1">
      <x:alignment vertical="center" wrapText="1"/>
    </x:xf>
    <x:xf numFmtId="0" fontId="13" fillId="3" borderId="3" xfId="0" applyNumberFormat="1" applyFont="1" applyFill="1" applyBorder="1" applyAlignment="1">
      <x:alignment vertical="center" wrapText="1"/>
    </x:xf>
    <x:xf numFmtId="0" fontId="13" fillId="3" borderId="8" xfId="0" applyNumberFormat="1" applyFont="1" applyFill="1" applyBorder="1" applyAlignment="1">
      <x:alignment horizontal="center" vertical="center" wrapText="1"/>
    </x:xf>
    <x:xf numFmtId="0" fontId="13" fillId="3" borderId="15" xfId="0" applyNumberFormat="1" applyFont="1" applyFill="1" applyBorder="1" applyAlignment="1">
      <x:alignment horizontal="center" vertical="center" wrapText="1"/>
    </x:xf>
    <x:xf numFmtId="0" fontId="13" fillId="3" borderId="3" xfId="0" applyNumberFormat="1" applyFont="1" applyFill="1" applyBorder="1" applyAlignment="1">
      <x:alignment horizontal="center" vertical="center" wrapText="1"/>
    </x:xf>
    <x:xf numFmtId="0" fontId="7" fillId="0" borderId="14" xfId="0" applyNumberFormat="1" applyFont="1" applyFill="1" applyBorder="1" applyAlignment="1">
      <x:alignment horizontal="center" vertical="center" wrapText="1"/>
    </x:xf>
    <x:xf numFmtId="0" fontId="7" fillId="0" borderId="17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/>
    <x:xf numFmtId="202" fontId="14" fillId="0" borderId="0" xfId="0" applyNumberFormat="1" applyFont="1" applyFill="1" applyBorder="1"/>
    <x:xf numFmtId="0" fontId="11" fillId="3" borderId="7" xfId="0" applyNumberFormat="1" applyFont="1" applyFill="1" applyBorder="1" applyAlignment="1">
      <x:alignment vertical="center" wrapText="1"/>
    </x:xf>
    <x:xf numFmtId="0" fontId="11" fillId="3" borderId="13" xfId="0" applyNumberFormat="1" applyFont="1" applyFill="1" applyBorder="1" applyAlignment="1">
      <x:alignment vertical="center" wrapText="1"/>
    </x:xf>
    <x:xf numFmtId="0" fontId="15" fillId="3" borderId="7" xfId="0" applyNumberFormat="1" applyFont="1" applyFill="1" applyBorder="1" applyAlignment="1">
      <x:alignment vertical="center" wrapText="1"/>
    </x:xf>
    <x:xf numFmtId="0" fontId="15" fillId="3" borderId="13" xfId="0" applyNumberFormat="1" applyFont="1" applyFill="1" applyBorder="1" applyAlignment="1">
      <x:alignment vertical="center" wrapText="1"/>
    </x:xf>
    <x:xf numFmtId="0" fontId="15" fillId="3" borderId="7" xfId="0" applyNumberFormat="1" applyFont="1" applyFill="1" applyBorder="1" applyAlignment="1">
      <x:alignment horizontal="center" vertical="center" wrapText="1"/>
    </x:xf>
    <x:xf numFmtId="0" fontId="15" fillId="3" borderId="13" xfId="0" applyNumberFormat="1" applyFont="1" applyFill="1" applyBorder="1" applyAlignment="1">
      <x:alignment horizontal="center" vertical="center" wrapText="1"/>
    </x:xf>
    <x:xf numFmtId="0" fontId="11" fillId="6" borderId="7" xfId="0" applyNumberFormat="1" applyFont="1" applyFill="1" applyBorder="1" applyAlignment="1">
      <x:alignment vertical="center" wrapText="1"/>
    </x:xf>
    <x:xf numFmtId="0" fontId="11" fillId="6" borderId="13" xfId="0" applyNumberFormat="1" applyFont="1" applyFill="1" applyBorder="1" applyAlignment="1">
      <x:alignment vertical="center" wrapText="1"/>
    </x:xf>
    <x:xf numFmtId="0" fontId="16" fillId="6" borderId="7" xfId="0" applyNumberFormat="1" applyFont="1" applyFill="1" applyBorder="1" applyAlignment="1">
      <x:alignment vertical="center" wrapText="1"/>
    </x:xf>
    <x:xf numFmtId="0" fontId="16" fillId="6" borderId="1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D6534D"/>
      </x:font>
      <x:fill>
        <x:patternFill patternType="solid">
          <x:bgColor rgb="FFFDECEB"/>
        </x:patternFill>
      </x:fill>
    </x:dxf>
    <x:dxf>
      <x:font>
        <x:b/>
        <x:color rgb="FFA76310"/>
      </x:font>
      <x:fill>
        <x:patternFill patternType="solid">
          <x:bgColor rgb="FFFFF3DF"/>
        </x:patternFill>
      </x:fill>
    </x:dxf>
    <x:dxf>
      <x:font>
        <x:color rgb="FF68758A"/>
      </x:font>
      <x:fill>
        <x:patternFill patternType="solid">
          <x:bgColor rgb="FFF5F7FA"/>
        </x:patternFill>
      </x:fill>
    </x:dxf>
    <x:dxf>
      <x:font>
        <x:b/>
        <x:color rgb="FFD6534D"/>
      </x:font>
      <x:fill>
        <x:patternFill patternType="solid">
          <x:bgColor rgb="FFFDECEB"/>
        </x:patternFill>
      </x:fill>
    </x:dxf>
    <x:dxf>
      <x:font>
        <x:color rgb="FFD6534D"/>
      </x:font>
      <x:fill>
        <x:patternFill patternType="solid">
          <x:bgColor rgb="FFD6534D"/>
        </x:patternFill>
      </x:fill>
    </x:dxf>
    <x:dxf>
      <x:font>
        <x:color rgb="FF2F6FED"/>
      </x:font>
      <x:fill>
        <x:patternFill patternType="solid">
          <x:bgColor rgb="FF2F6FED"/>
        </x:patternFill>
      </x:fill>
    </x:dxf>
    <x:dxf>
      <x:font>
        <x:color rgb="FFF2A33A"/>
      </x:font>
      <x:fill>
        <x:patternFill patternType="solid">
          <x:bgColor rgb="FFF2A33A"/>
        </x:patternFill>
      </x:fill>
    </x:dxf>
    <x:dxf>
      <x:font>
        <x:color rgb="FF7A5AF8"/>
      </x:font>
      <x:fill>
        <x:patternFill patternType="solid">
          <x:bgColor rgb="FF7A5AF8"/>
        </x:patternFill>
      </x:fill>
    </x:dxf>
    <x:dxf>
      <x:font>
        <x:color rgb="FF16856A"/>
      </x:font>
      <x:fill>
        <x:patternFill patternType="solid">
          <x:bgColor rgb="FF16856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c964512ea84b09" /><Relationship Type="http://schemas.openxmlformats.org/officeDocument/2006/relationships/theme" Target="/xl/theme/theme1.xml" Id="R1dc06bb8bd884159" /><Relationship Type="http://schemas.openxmlformats.org/officeDocument/2006/relationships/sharedStrings" Target="/xl/sharedStrings.xml" Id="R2d982d3d044b4476" /><Relationship Type="http://schemas.openxmlformats.org/officeDocument/2006/relationships/worksheet" Target="/xl/worksheets/sheet1.xml" Id="Rf0c157fd1a3d4dcc" /><Relationship Type="http://schemas.openxmlformats.org/officeDocument/2006/relationships/worksheet" Target="/xl/worksheets/sheet2.xml" Id="Rb256cfea0e5c48eb" /><Relationship Type="http://schemas.openxmlformats.org/officeDocument/2006/relationships/worksheet" Target="/xl/worksheets/sheet3.xml" Id="Rb811a797a2fd456e" /><Relationship Type="http://schemas.openxmlformats.org/officeDocument/2006/relationships/worksheet" Target="/xl/worksheets/sheet4.xml" Id="Re7a2db4c5fa74e59" /><Relationship Type="http://schemas.microsoft.com/office/2017/10/relationships/person" Target="/xl/persons/person.xml" Id="Rf14cdf5d10144523" /></Relationships>
</file>

<file path=xl/persons/person.xml><?xml version="1.0" encoding="utf-8"?>
<xltc:personList xmlns:xltc="http://schemas.microsoft.com/office/spreadsheetml/2018/threadedcomments">
  <xltc:person displayName="Xinru Tian" id="{FE3E77AF-0A06-4A0E-A260-3267FEAFD96A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I5" dT="2026-09-10T18:07:49.567" personId="{FE3E77AF-0A06-4A0E-A260-3267FEAFD96A}" id="{DBB3B5D5-2664-4F07-B06C-420223E9B0F3}">
    <xltc:text>RICE 公式：Reach × Impact × Confidence ÷ Effort。修改 E-H 列后自动更新。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4a528cce175b42f9" /><Relationship Type="http://schemas.openxmlformats.org/officeDocument/2006/relationships/vmlDrawing" Target="/xl/drawings/vmldrawing.vml" Id="R63973d8640c24ae3" /><Relationship Type="http://schemas.microsoft.com/office/2017/10/relationships/threadedComment" Target="/xl/threadedcomments/threadedcomment.xml" Id="Rd7880247a80f409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4" customHeight="1">
      <x:c r="A1" s="4" t="str">
        <x:v>INSIGHT AI 安全运营小助手｜2026 Q4 产品 Roadmap
方向：可信质量先行 · 试点验证价值 · 打通处置闭环</x:v>
      </x:c>
    </x:row>
    <x:row r="2" ht="34" customHeight="1"/>
    <x:row r="3" ht="24" customHeight="1"/>
    <x:row r="4" ht="24" customHeight="1">
      <x:c r="A4" s="8" t="str">
        <x:v>北极星目标：让安全运营人员在可追溯、可审核的前提下，更快完成漏洞研判报告并推动处置落地。</x:v>
      </x:c>
    </x:row>
    <x:row r="5" ht="24" customHeight="1"/>
    <x:row r="6" ht="24" customHeight="1">
      <x:c r="A6" s="11" t="str">
        <x:v>产品目标 O1</x:v>
      </x:c>
      <x:c r="B6" s="11"/>
      <x:c r="C6" s="11"/>
      <x:c r="D6" s="11" t="str">
        <x:v>产品目标 O2</x:v>
      </x:c>
      <x:c r="E6" s="11"/>
      <x:c r="F6" s="11"/>
      <x:c r="G6" s="11" t="str">
        <x:v>产品目标 O3</x:v>
      </x:c>
      <x:c r="H6" s="11"/>
      <x:c r="I6" s="11"/>
      <x:c r="J6" s="11" t="str">
        <x:v>决策原则</x:v>
      </x:c>
      <x:c r="K6" s="11"/>
      <x:c r="L6" s="11"/>
    </x:row>
    <x:row r="7" ht="31" customHeight="1">
      <x:c r="A7" s="40" t="str">
        <x:v>可信可用
平台事实准确率 100%
高风险结论有效引用率 100%</x:v>
      </x:c>
      <x:c r="B7" s="41"/>
      <x:c r="C7" s="41"/>
      <x:c r="D7" s="41" t="str">
        <x:v>效率可证
单份报告平均完成时间下降 ≥60%
必填章节完整率 ≥95%</x:v>
      </x:c>
      <x:c r="E7" s="41"/>
      <x:c r="F7" s="41"/>
      <x:c r="G7" s="41" t="str">
        <x:v>价值可验证
试点用户“有帮助”比例 ≥80%
报告→工单转化率 ≥60%</x:v>
      </x:c>
      <x:c r="H7" s="41"/>
      <x:c r="I7" s="41"/>
      <x:c r="J7" s="41" t="str">
        <x:v>RICE 用于比较价值/投入
安全、合规与数据隔离为硬门槛
里程碑评审决定继续/调整/停止</x:v>
      </x:c>
      <x:c r="K7" s="41"/>
      <x:c r="L7" s="42"/>
    </x:row>
    <x:row r="8" ht="31" customHeight="1">
      <x:c r="A8" s="43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5"/>
    </x:row>
    <x:row r="9" ht="31" customHeight="1">
      <x:c r="A9" s="46"/>
      <x:c r="B9" s="47"/>
      <x:c r="C9" s="47"/>
      <x:c r="D9" s="47"/>
      <x:c r="E9" s="47"/>
      <x:c r="F9" s="47"/>
      <x:c r="G9" s="47"/>
      <x:c r="H9" s="47"/>
      <x:c r="I9" s="47"/>
      <x:c r="J9" s="47"/>
      <x:c r="K9" s="47"/>
      <x:c r="L9" s="48"/>
    </x:row>
    <x:row r="10" ht="24" customHeight="1"/>
    <x:row r="11" ht="24" customHeight="1">
      <x:c r="A11" s="50" t="str">
        <x:v>季度节奏｜6 个双周 Sprint</x:v>
      </x:c>
    </x:row>
    <x:row r="12" ht="34" customHeight="1">
      <x:c r="A12" s="53" t="str">
        <x:v>阶段</x:v>
      </x:c>
      <x:c r="B12" s="53" t="str">
        <x:v>Sprint 1</x:v>
      </x:c>
      <x:c r="C12" s="53"/>
      <x:c r="D12" s="53" t="str">
        <x:v>Sprint 2</x:v>
      </x:c>
      <x:c r="E12" s="53"/>
      <x:c r="F12" s="53" t="str">
        <x:v>Sprint 3</x:v>
      </x:c>
      <x:c r="G12" s="53"/>
      <x:c r="H12" s="53" t="str">
        <x:v>Sprint 4</x:v>
      </x:c>
      <x:c r="I12" s="53"/>
      <x:c r="J12" s="53" t="str">
        <x:v>Sprint 5</x:v>
      </x:c>
      <x:c r="K12" s="53"/>
      <x:c r="L12" s="53" t="str">
        <x:v>Sprint 6</x:v>
      </x:c>
    </x:row>
    <x:row r="13" ht="34" customHeight="1">
      <x:c r="A13" s="61" t="str">
        <x:v>周次</x:v>
      </x:c>
      <x:c r="B13" s="58" t="str">
        <x:v>W1</x:v>
      </x:c>
      <x:c r="C13" s="58" t="str">
        <x:v>W2</x:v>
      </x:c>
      <x:c r="D13" s="58" t="str">
        <x:v>W3</x:v>
      </x:c>
      <x:c r="E13" s="58" t="str">
        <x:v>W4</x:v>
      </x:c>
      <x:c r="F13" s="58" t="str">
        <x:v>W5</x:v>
      </x:c>
      <x:c r="G13" s="58" t="str">
        <x:v>W6</x:v>
      </x:c>
      <x:c r="H13" s="58" t="str">
        <x:v>W7</x:v>
      </x:c>
      <x:c r="I13" s="58" t="str">
        <x:v>W8</x:v>
      </x:c>
      <x:c r="J13" s="58" t="str">
        <x:v>W9</x:v>
      </x:c>
      <x:c r="K13" s="58" t="str">
        <x:v>W10</x:v>
      </x:c>
      <x:c r="L13" s="58" t="str">
        <x:v>W11–12</x:v>
      </x:c>
    </x:row>
    <x:row r="14" ht="34" customHeight="1">
      <x:c r="A14" s="61" t="str">
        <x:v>主题</x:v>
      </x:c>
      <x:c r="B14" s="58" t="str">
        <x:v>基线与试点准备</x:v>
      </x:c>
      <x:c r="C14" s="58"/>
      <x:c r="D14" s="58" t="str">
        <x:v>可信质量 Alpha</x:v>
      </x:c>
      <x:c r="E14" s="58"/>
      <x:c r="F14" s="58" t="str">
        <x:v>场景模板闭环</x:v>
      </x:c>
      <x:c r="G14" s="58"/>
      <x:c r="H14" s="58" t="str">
        <x:v>工单协同 Beta</x:v>
      </x:c>
      <x:c r="I14" s="58"/>
      <x:c r="J14" s="58" t="str">
        <x:v>稳定性与审计</x:v>
      </x:c>
      <x:c r="K14" s="58"/>
      <x:c r="L14" s="58" t="str">
        <x:v>验收与 GA 决策</x:v>
      </x:c>
    </x:row>
    <x:row r="15" ht="34" customHeight="1">
      <x:c r="A15" s="61" t="str">
        <x:v>关键输出</x:v>
      </x:c>
      <x:c r="B15" s="62" t="str">
        <x:v>指标口径、金标集、试点名单</x:v>
      </x:c>
      <x:c r="C15" s="62"/>
      <x:c r="D15" s="63" t="str">
        <x:v>事实/引用质量门禁</x:v>
      </x:c>
      <x:c r="E15" s="63"/>
      <x:c r="F15" s="64" t="str">
        <x:v>三类受众模板、反馈闭环</x:v>
      </x:c>
      <x:c r="G15" s="64"/>
      <x:c r="H15" s="65" t="str">
        <x:v>报告关联工单、人工确认</x:v>
      </x:c>
      <x:c r="I15" s="65"/>
      <x:c r="J15" s="66" t="str">
        <x:v>批量队列、版本差异</x:v>
      </x:c>
      <x:c r="K15" s="66"/>
      <x:c r="L15" s="67" t="str">
        <x:v>试点评估、下季度建议</x:v>
      </x:c>
    </x:row>
    <x:row r="16" ht="34" customHeight="1">
      <x:c r="A16" s="61" t="str">
        <x:v>里程碑</x:v>
      </x:c>
      <x:c r="B16" s="62" t="str">
        <x:v>M1</x:v>
      </x:c>
      <x:c r="C16" s="62"/>
      <x:c r="D16" s="63" t="str">
        <x:v>M2</x:v>
      </x:c>
      <x:c r="E16" s="63"/>
      <x:c r="F16" s="64" t="str">
        <x:v>M3</x:v>
      </x:c>
      <x:c r="G16" s="64"/>
      <x:c r="H16" s="65" t="str">
        <x:v>M4</x:v>
      </x:c>
      <x:c r="I16" s="65"/>
      <x:c r="J16" s="66"/>
      <x:c r="K16" s="66"/>
      <x:c r="L16" s="67" t="str">
        <x:v>M5</x:v>
      </x:c>
    </x:row>
    <x:row r="17" ht="34" customHeight="1">
      <x:c r="A17" s="61" t="str">
        <x:v>发布策略</x:v>
      </x:c>
      <x:c r="B17" s="62" t="str">
        <x:v>内部设计评审</x:v>
      </x:c>
      <x:c r="C17" s="62"/>
      <x:c r="D17" s="63" t="str">
        <x:v>Alpha</x:v>
      </x:c>
      <x:c r="E17" s="63"/>
      <x:c r="F17" s="64" t="str">
        <x:v>封闭试点</x:v>
      </x:c>
      <x:c r="G17" s="64"/>
      <x:c r="H17" s="65" t="str">
        <x:v>Beta</x:v>
      </x:c>
      <x:c r="I17" s="65"/>
      <x:c r="J17" s="66" t="str">
        <x:v>扩大试点</x:v>
      </x:c>
      <x:c r="K17" s="66"/>
      <x:c r="L17" s="67" t="str">
        <x:v>GA/继续试点决策</x:v>
      </x:c>
    </x:row>
    <x:row r="18" ht="24" customHeight="1"/>
    <x:row r="19" ht="24" customHeight="1">
      <x:c r="A19" s="49" t="str">
        <x:v>季度范围边界</x:v>
      </x:c>
    </x:row>
    <x:row r="20" ht="30" customHeight="1">
      <x:c r="A20" s="71" t="str">
        <x:v>本季度做：质量门禁、受众模板、反馈埋点、工单关联、批量稳定性、版本审计</x:v>
      </x:c>
      <x:c r="B20" s="71"/>
      <x:c r="C20" s="71"/>
      <x:c r="D20" s="71"/>
      <x:c r="E20" s="71"/>
      <x:c r="F20" s="71"/>
      <x:c r="G20" s="75" t="str">
        <x:v>本季度不做：自动改漏洞等级/状态、自动派单、自动安装补丁、未审核互联网知识直接入库</x:v>
      </x:c>
      <x:c r="H20" s="75"/>
      <x:c r="I20" s="75"/>
      <x:c r="J20" s="75"/>
      <x:c r="K20" s="75"/>
      <x:c r="L20" s="75"/>
    </x:row>
    <x:row r="21" ht="30" customHeight="1">
      <x:c r="A21" s="71"/>
      <x:c r="B21" s="71"/>
      <x:c r="C21" s="71"/>
      <x:c r="D21" s="71"/>
      <x:c r="E21" s="71"/>
      <x:c r="F21" s="71"/>
      <x:c r="G21" s="75"/>
      <x:c r="H21" s="75"/>
      <x:c r="I21" s="75"/>
      <x:c r="J21" s="75"/>
      <x:c r="K21" s="75"/>
      <x:c r="L21" s="75"/>
    </x:row>
    <x:row r="22" ht="30" customHeight="1">
      <x:c r="A22" s="71"/>
      <x:c r="B22" s="71"/>
      <x:c r="C22" s="71"/>
      <x:c r="D22" s="71"/>
      <x:c r="E22" s="71"/>
      <x:c r="F22" s="71"/>
      <x:c r="G22" s="75"/>
      <x:c r="H22" s="75"/>
      <x:c r="I22" s="75"/>
      <x:c r="J22" s="75"/>
      <x:c r="K22" s="75"/>
      <x:c r="L22" s="75"/>
    </x:row>
  </x:sheetData>
  <x:mergeCells>
    <x:mergeCell ref="A1:L2"/>
    <x:mergeCell ref="A4:L4"/>
    <x:mergeCell ref="A6:C6"/>
    <x:mergeCell ref="D6:F6"/>
    <x:mergeCell ref="G6:I6"/>
    <x:mergeCell ref="J6:L6"/>
    <x:mergeCell ref="A7:C9"/>
    <x:mergeCell ref="D7:F9"/>
    <x:mergeCell ref="G7:I9"/>
    <x:mergeCell ref="J7:L9"/>
    <x:mergeCell ref="A11:L11"/>
    <x:mergeCell ref="A19:L19"/>
    <x:mergeCell ref="A20:F20"/>
    <x:mergeCell ref="G20:L20"/>
    <x:mergeCell ref="A20:F22"/>
    <x:mergeCell ref="G20:L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7" hidden="0" customWidth="1"/>
    <x:col min="2" max="2" width="10" hidden="0" customWidth="1"/>
    <x:col min="3" max="3" width="28" hidden="0" customWidth="1"/>
    <x:col min="4" max="4" width="14" hidden="0" customWidth="1"/>
    <x:col min="5" max="5" width="12" hidden="0" customWidth="1"/>
    <x:col min="6" max="6" width="12" hidden="0" customWidth="1"/>
    <x:col min="7" max="7" width="11" hidden="0" customWidth="1"/>
    <x:col min="8" max="8" width="11" hidden="0" customWidth="1"/>
    <x:col min="9" max="9" width="12" hidden="0" customWidth="1"/>
    <x:col min="10" max="10" width="10" hidden="0" customWidth="1"/>
    <x:col min="11" max="11" width="12" hidden="0" customWidth="1"/>
    <x:col min="12" max="12" width="22" hidden="0" customWidth="1"/>
  </x:cols>
  <x:sheetData>
    <x:row r="1" ht="34" customHeight="1">
      <x:c r="A1" s="4" t="str">
        <x:v>需求优先级｜RICE 量化模型
RICE = Reach × Impact × Confidence ÷ Effort；安全/合规硬门槛可覆盖纯分值排序</x:v>
      </x:c>
    </x:row>
    <x:row r="2" ht="34" customHeight="1"/>
    <x:row r="3" ht="28" customHeight="1"/>
    <x:row r="4" ht="38" customHeight="1">
      <x:c r="A4" s="82" t="str">
        <x:v>排名</x:v>
      </x:c>
      <x:c r="B4" s="83" t="str">
        <x:v>需求ID</x:v>
      </x:c>
      <x:c r="C4" s="83" t="str">
        <x:v>候选需求</x:v>
      </x:c>
      <x:c r="D4" s="83" t="str">
        <x:v>工作流</x:v>
      </x:c>
      <x:c r="E4" s="83" t="str">
        <x:v>Reach
季度触达/份</x:v>
      </x:c>
      <x:c r="F4" s="83" t="str">
        <x:v>Impact
3/2/1/0.5</x:v>
      </x:c>
      <x:c r="G4" s="83" t="str">
        <x:v>Confidence</x:v>
      </x:c>
      <x:c r="H4" s="83" t="str">
        <x:v>Effort
人周</x:v>
      </x:c>
      <x:c r="I4" s="83" t="str">
        <x:v>RICE得分</x:v>
      </x:c>
      <x:c r="J4" s="83" t="str">
        <x:v>硬门槛</x:v>
      </x:c>
      <x:c r="K4" s="83" t="str">
        <x:v>最终优先级</x:v>
      </x:c>
      <x:c r="L4" s="84" t="str">
        <x:v>决策</x:v>
      </x:c>
    </x:row>
    <x:row r="5" ht="36" customHeight="1">
      <x:c r="A5" s="102" t="n">
        <x:v>1</x:v>
      </x:c>
      <x:c r="B5" s="102" t="str">
        <x:v>Q4-01</x:v>
      </x:c>
      <x:c r="C5" s="103" t="str">
        <x:v>事实与引用质量门禁</x:v>
      </x:c>
      <x:c r="D5" s="103" t="str">
        <x:v>可信与安全</x:v>
      </x:c>
      <x:c r="E5" s="104" t="n">
        <x:v>60</x:v>
      </x:c>
      <x:c r="F5" s="104" t="n">
        <x:v>3</x:v>
      </x:c>
      <x:c r="G5" s="105" t="n">
        <x:v>0.9</x:v>
      </x:c>
      <x:c r="H5" s="104" t="n">
        <x:v>4</x:v>
      </x:c>
      <x:c r="I5" s="104" t="n">
        <x:f>E5*F5*G5/H5</x:f>
        <x:v>40.5</x:v>
      </x:c>
      <x:c r="J5" s="102" t="str">
        <x:v>是</x:v>
      </x:c>
      <x:c r="K5" s="102" t="str">
        <x:v>P0</x:v>
      </x:c>
      <x:c r="L5" s="103" t="str">
        <x:v>进入季度承诺</x:v>
      </x:c>
    </x:row>
    <x:row r="6" ht="36" customHeight="1">
      <x:c r="A6" s="106" t="n">
        <x:v>2</x:v>
      </x:c>
      <x:c r="B6" s="106" t="str">
        <x:v>Q4-02</x:v>
      </x:c>
      <x:c r="C6" s="107" t="str">
        <x:v>试点埋点与反馈闭环</x:v>
      </x:c>
      <x:c r="D6" s="107" t="str">
        <x:v>数据与运营</x:v>
      </x:c>
      <x:c r="E6" s="108" t="n">
        <x:v>60</x:v>
      </x:c>
      <x:c r="F6" s="108" t="n">
        <x:v>2</x:v>
      </x:c>
      <x:c r="G6" s="109" t="n">
        <x:v>0.9</x:v>
      </x:c>
      <x:c r="H6" s="108" t="n">
        <x:v>3</x:v>
      </x:c>
      <x:c r="I6" s="108" t="n">
        <x:f>E6*F6*G6/H6</x:f>
        <x:v>36</x:v>
      </x:c>
      <x:c r="J6" s="106" t="str">
        <x:v>否</x:v>
      </x:c>
      <x:c r="K6" s="106" t="str">
        <x:v>P0</x:v>
      </x:c>
      <x:c r="L6" s="107" t="str">
        <x:v>进入季度承诺</x:v>
      </x:c>
    </x:row>
    <x:row r="7" ht="36" customHeight="1">
      <x:c r="A7" s="106" t="n">
        <x:v>3</x:v>
      </x:c>
      <x:c r="B7" s="106" t="str">
        <x:v>Q4-03</x:v>
      </x:c>
      <x:c r="C7" s="107" t="str">
        <x:v>三类受众报告模板</x:v>
      </x:c>
      <x:c r="D7" s="107" t="str">
        <x:v>用户体验</x:v>
      </x:c>
      <x:c r="E7" s="108" t="n">
        <x:v>50</x:v>
      </x:c>
      <x:c r="F7" s="108" t="n">
        <x:v>2</x:v>
      </x:c>
      <x:c r="G7" s="109" t="n">
        <x:v>0.8</x:v>
      </x:c>
      <x:c r="H7" s="108" t="n">
        <x:v>3</x:v>
      </x:c>
      <x:c r="I7" s="108" t="n">
        <x:f>E7*F7*G7/H7</x:f>
        <x:v>26.666666666666668</x:v>
      </x:c>
      <x:c r="J7" s="106" t="str">
        <x:v>否</x:v>
      </x:c>
      <x:c r="K7" s="106" t="str">
        <x:v>P0</x:v>
      </x:c>
      <x:c r="L7" s="107" t="str">
        <x:v>进入季度承诺</x:v>
      </x:c>
    </x:row>
    <x:row r="8" ht="36" customHeight="1">
      <x:c r="A8" s="97" t="n">
        <x:v>4</x:v>
      </x:c>
      <x:c r="B8" s="97" t="str">
        <x:v>Q4-04</x:v>
      </x:c>
      <x:c r="C8" s="91" t="str">
        <x:v>报告关联工单 + 人工确认</x:v>
      </x:c>
      <x:c r="D8" s="91" t="str">
        <x:v>处置协同</x:v>
      </x:c>
      <x:c r="E8" s="100" t="n">
        <x:v>45</x:v>
      </x:c>
      <x:c r="F8" s="100" t="n">
        <x:v>3</x:v>
      </x:c>
      <x:c r="G8" s="101" t="n">
        <x:v>0.75</x:v>
      </x:c>
      <x:c r="H8" s="100" t="n">
        <x:v>6</x:v>
      </x:c>
      <x:c r="I8" s="100" t="n">
        <x:f>E8*F8*G8/H8</x:f>
        <x:v>16.875</x:v>
      </x:c>
      <x:c r="J8" s="97" t="str">
        <x:v>是</x:v>
      </x:c>
      <x:c r="K8" s="97" t="str">
        <x:v>P0</x:v>
      </x:c>
      <x:c r="L8" s="91" t="str">
        <x:v>进入季度承诺</x:v>
      </x:c>
    </x:row>
    <x:row r="9" ht="36" customHeight="1">
      <x:c r="A9" s="97" t="n">
        <x:v>5</x:v>
      </x:c>
      <x:c r="B9" s="97" t="str">
        <x:v>Q4-05</x:v>
      </x:c>
      <x:c r="C9" s="91" t="str">
        <x:v>可信知识源治理与冲突处理</x:v>
      </x:c>
      <x:c r="D9" s="91" t="str">
        <x:v>可信与安全</x:v>
      </x:c>
      <x:c r="E9" s="100" t="n">
        <x:v>60</x:v>
      </x:c>
      <x:c r="F9" s="100" t="n">
        <x:v>3</x:v>
      </x:c>
      <x:c r="G9" s="101" t="n">
        <x:v>0.7</x:v>
      </x:c>
      <x:c r="H9" s="100" t="n">
        <x:v>8</x:v>
      </x:c>
      <x:c r="I9" s="100" t="n">
        <x:f>E9*F9*G9/H9</x:f>
        <x:v>15.749999999999998</x:v>
      </x:c>
      <x:c r="J9" s="97" t="str">
        <x:v>是</x:v>
      </x:c>
      <x:c r="K9" s="97" t="str">
        <x:v>P0</x:v>
      </x:c>
      <x:c r="L9" s="91" t="str">
        <x:v>进入季度承诺</x:v>
      </x:c>
    </x:row>
    <x:row r="10" ht="36" customHeight="1">
      <x:c r="A10" s="97" t="n">
        <x:v>6</x:v>
      </x:c>
      <x:c r="B10" s="97" t="str">
        <x:v>Q4-06</x:v>
      </x:c>
      <x:c r="C10" s="91" t="str">
        <x:v>批量生成队列、重试与降级</x:v>
      </x:c>
      <x:c r="D10" s="91" t="str">
        <x:v>平台能力</x:v>
      </x:c>
      <x:c r="E10" s="100" t="n">
        <x:v>40</x:v>
      </x:c>
      <x:c r="F10" s="100" t="n">
        <x:v>2</x:v>
      </x:c>
      <x:c r="G10" s="101" t="n">
        <x:v>0.8</x:v>
      </x:c>
      <x:c r="H10" s="100" t="n">
        <x:v>4</x:v>
      </x:c>
      <x:c r="I10" s="100" t="n">
        <x:f>E10*F10*G10/H10</x:f>
        <x:v>16</x:v>
      </x:c>
      <x:c r="J10" s="97" t="str">
        <x:v>否</x:v>
      </x:c>
      <x:c r="K10" s="97" t="str">
        <x:v>P1</x:v>
      </x:c>
      <x:c r="L10" s="91" t="str">
        <x:v>资源允许则交付</x:v>
      </x:c>
    </x:row>
    <x:row r="11" ht="36" customHeight="1">
      <x:c r="A11" s="97" t="n">
        <x:v>7</x:v>
      </x:c>
      <x:c r="B11" s="97" t="str">
        <x:v>Q4-07</x:v>
      </x:c>
      <x:c r="C11" s="91" t="str">
        <x:v>版本差异与审核审计</x:v>
      </x:c>
      <x:c r="D11" s="91" t="str">
        <x:v>处置协同</x:v>
      </x:c>
      <x:c r="E11" s="100" t="n">
        <x:v>35</x:v>
      </x:c>
      <x:c r="F11" s="100" t="n">
        <x:v>2</x:v>
      </x:c>
      <x:c r="G11" s="101" t="n">
        <x:v>0.8</x:v>
      </x:c>
      <x:c r="H11" s="100" t="n">
        <x:v>4</x:v>
      </x:c>
      <x:c r="I11" s="100" t="n">
        <x:f>E11*F11*G11/H11</x:f>
        <x:v>14</x:v>
      </x:c>
      <x:c r="J11" s="97" t="str">
        <x:v>是</x:v>
      </x:c>
      <x:c r="K11" s="97" t="str">
        <x:v>P1</x:v>
      </x:c>
      <x:c r="L11" s="91" t="str">
        <x:v>资源允许则交付</x:v>
      </x:c>
    </x:row>
    <x:row r="12" ht="36" customHeight="1">
      <x:c r="A12" s="97" t="n">
        <x:v>8</x:v>
      </x:c>
      <x:c r="B12" s="97" t="str">
        <x:v>Q4-08</x:v>
      </x:c>
      <x:c r="C12" s="91" t="str">
        <x:v>团队级报告运营看板</x:v>
      </x:c>
      <x:c r="D12" s="91" t="str">
        <x:v>数据与运营</x:v>
      </x:c>
      <x:c r="E12" s="100" t="n">
        <x:v>25</x:v>
      </x:c>
      <x:c r="F12" s="100" t="n">
        <x:v>1</x:v>
      </x:c>
      <x:c r="G12" s="101" t="n">
        <x:v>0.6</x:v>
      </x:c>
      <x:c r="H12" s="100" t="n">
        <x:v>4</x:v>
      </x:c>
      <x:c r="I12" s="100" t="n">
        <x:f>E12*F12*G12/H12</x:f>
        <x:v>3.75</x:v>
      </x:c>
      <x:c r="J12" s="97" t="str">
        <x:v>否</x:v>
      </x:c>
      <x:c r="K12" s="97" t="str">
        <x:v>P2</x:v>
      </x:c>
      <x:c r="L12" s="91" t="str">
        <x:v>下季度候选</x:v>
      </x:c>
    </x:row>
    <x:row r="13" ht="36" customHeight="1">
      <x:c r="A13" s="97" t="n">
        <x:v>9</x:v>
      </x:c>
      <x:c r="B13" s="97" t="str">
        <x:v>Q4-09</x:v>
      </x:c>
      <x:c r="C13" s="91" t="str">
        <x:v>自然语言问答入口</x:v>
      </x:c>
      <x:c r="D13" s="91" t="str">
        <x:v>用户体验</x:v>
      </x:c>
      <x:c r="E13" s="100" t="n">
        <x:v>30</x:v>
      </x:c>
      <x:c r="F13" s="100" t="n">
        <x:v>1</x:v>
      </x:c>
      <x:c r="G13" s="101" t="n">
        <x:v>0.5</x:v>
      </x:c>
      <x:c r="H13" s="100" t="n">
        <x:v>6</x:v>
      </x:c>
      <x:c r="I13" s="100" t="n">
        <x:f>E13*F13*G13/H13</x:f>
        <x:v>2.5</x:v>
      </x:c>
      <x:c r="J13" s="97" t="str">
        <x:v>否</x:v>
      </x:c>
      <x:c r="K13" s="97" t="str">
        <x:v>P2</x:v>
      </x:c>
      <x:c r="L13" s="91" t="str">
        <x:v>暂缓：偏离固定流程</x:v>
      </x:c>
    </x:row>
    <x:row r="14" ht="36" customHeight="1">
      <x:c r="A14" s="97" t="n">
        <x:v>10</x:v>
      </x:c>
      <x:c r="B14" s="97" t="str">
        <x:v>Q4-10</x:v>
      </x:c>
      <x:c r="C14" s="91" t="str">
        <x:v>自动创建/派发工单</x:v>
      </x:c>
      <x:c r="D14" s="91" t="str">
        <x:v>自动化</x:v>
      </x:c>
      <x:c r="E14" s="100" t="n">
        <x:v>35</x:v>
      </x:c>
      <x:c r="F14" s="100" t="n">
        <x:v>3</x:v>
      </x:c>
      <x:c r="G14" s="101" t="n">
        <x:v>0.5</x:v>
      </x:c>
      <x:c r="H14" s="100" t="n">
        <x:v>10</x:v>
      </x:c>
      <x:c r="I14" s="100" t="n">
        <x:f>E14*F14*G14/H14</x:f>
        <x:v>5.25</x:v>
      </x:c>
      <x:c r="J14" s="97" t="str">
        <x:v>是</x:v>
      </x:c>
      <x:c r="K14" s="97" t="str">
        <x:v>不做</x:v>
      </x:c>
      <x:c r="L14" s="91" t="str">
        <x:v>越过人工确认边界</x:v>
      </x:c>
    </x:row>
    <x:row r="15" ht="28" customHeight="1"/>
    <x:row r="16" ht="48" customHeight="1">
      <x:c r="A16" s="113" t="str">
        <x:v>使用说明：Reach 取季度内预计被使用的报告数；Impact 采用 3=巨大、2=高、1=中、0.5=低；Confidence 为证据可信度；Effort 为跨角色总人周。RICE 是比较工具，权限隔离、审计和人工确认属于强制门槛。</x:v>
      </x:c>
    </x:row>
  </x:sheetData>
  <x:mergeCells>
    <x:mergeCell ref="A1:L2"/>
    <x:mergeCell ref="A16:L16"/>
  </x:mergeCells>
  <x:conditionalFormatting sqref="I5:I14">
    <x:cfRule type="dataBar" priority="1">
      <x:dataBar>
        <x:cfvo type="min"/>
        <x:cfvo type="max"/>
        <x:color rgb="FF2F6FED"/>
      </x:dataBar>
      <x:extLst>
        <x:ext xmlns:x14="http://schemas.microsoft.com/office/spreadsheetml/2009/9/main" uri="{B025F937-C7B1-47D3-B67F-A62EFF666E3E}">
          <x14:id>{D3645E46-0745-9084-2B17-74E478E3E42D}</x14:id>
        </x:ext>
      </x:extLst>
    </x:cfRule>
  </x:conditionalFormatting>
  <x:conditionalFormatting sqref="K5:K14">
    <x:cfRule type="containsText" dxfId="0" priority="2" operator="containsText" text="P0"/>
    <x:cfRule type="containsText" dxfId="1" priority="3" operator="containsText" text="P1"/>
    <x:cfRule type="containsText" dxfId="2" priority="4" operator="containsText" text="P2"/>
    <x:cfRule type="containsText" dxfId="3" priority="5" operator="containsText" text="不做"/>
  </x:conditionalFormatting>
  <x:dataValidations count="3">
    <x:dataValidation type="list" sqref="J5:J14">
      <x:formula1>"是,否"</x:formula1>
    </x:dataValidation>
    <x:dataValidation type="list" sqref="K5:K14">
      <x:formula1>"P0,P1,P2,不做"</x:formula1>
    </x:dataValidation>
    <x:dataValidation type="list" sqref="L5:L14">
      <x:formula1>"进入季度承诺,资源允许则交付,下季度候选,暂缓：偏离固定流程,越过人工确认边界"</x:formula1>
    </x:dataValidation>
  </x:dataValidations>
  <x:pageMargins left="0.7" right="0.7" top="0.75" bottom="0.75" header="0.3" footer="0.3"/>
  <x:legacyDrawing xmlns:r="http://schemas.openxmlformats.org/officeDocument/2006/relationships" r:id="R63973d8640c24ae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3645E46-0745-9084-2B17-74E478E3E42D}">
            <x14:dataBar gradient="1">
              <x14:cfvo type="min"/>
              <x14:cfvo type="max"/>
              <x14:fillColor rgb="FF2F6FED"/>
            </x14:dataBar>
          </x14:cfRule>
          <xm:sqref>I5:I14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>
      <x:pane xSplit="6" ySplit="4" topLeftCell="G5" activePane="bottomRight" state="frozen"/>
    </x:sheetView>
  </x:sheetViews>
  <x:sheetFormatPr defaultRowHeight="15"/>
  <x:cols>
    <x:col min="1" max="1" width="10" hidden="0" customWidth="1"/>
    <x:col min="2" max="2" width="30" hidden="0" customWidth="1"/>
    <x:col min="3" max="3" width="15" hidden="0" customWidth="1"/>
    <x:col min="4" max="4" width="9" hidden="0" customWidth="1"/>
    <x:col min="5" max="5" width="9" hidden="0" customWidth="1"/>
    <x:col min="6" max="6" width="9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1" hidden="0" customWidth="1"/>
  </x:cols>
  <x:sheetData>
    <x:row r="1" ht="34" customHeight="1">
      <x:c r="A1" s="4" t="str">
        <x:v>2026 Q4 需求甘特图｜12 周执行计划
6 个双周 Sprint；排期基于 1 PM + 1 算法/AI + 2 后端 + 1 前端 + 1 测试的共享产能假设</x:v>
      </x:c>
    </x:row>
    <x:row r="2" ht="34" customHeight="1"/>
    <x:row r="3" ht="27" customHeight="1">
      <x:c r="G3" s="11" t="str">
        <x:v>10月</x:v>
      </x:c>
      <x:c r="H3" s="11"/>
      <x:c r="I3" s="11"/>
      <x:c r="J3" s="11"/>
      <x:c r="K3" s="11" t="str">
        <x:v>11月</x:v>
      </x:c>
      <x:c r="L3" s="11"/>
      <x:c r="M3" s="11"/>
      <x:c r="N3" s="11"/>
      <x:c r="O3" s="11" t="str">
        <x:v>12月</x:v>
      </x:c>
      <x:c r="P3" s="11"/>
      <x:c r="Q3" s="11"/>
      <x:c r="R3" s="11"/>
    </x:row>
    <x:row r="4" ht="27" customHeight="1">
      <x:c r="A4" s="82" t="str">
        <x:v>需求ID</x:v>
      </x:c>
      <x:c r="B4" s="83" t="str">
        <x:v>需求/任务</x:v>
      </x:c>
      <x:c r="C4" s="83" t="str">
        <x:v>Owner</x:v>
      </x:c>
      <x:c r="D4" s="83" t="str">
        <x:v>优先级</x:v>
      </x:c>
      <x:c r="E4" s="83" t="str">
        <x:v>开始周</x:v>
      </x:c>
      <x:c r="F4" s="83" t="str">
        <x:v>结束周</x:v>
      </x:c>
      <x:c r="G4" s="83" t="n">
        <x:v>1</x:v>
      </x:c>
      <x:c r="H4" s="83" t="n">
        <x:v>2</x:v>
      </x:c>
      <x:c r="I4" s="83" t="n">
        <x:v>3</x:v>
      </x:c>
      <x:c r="J4" s="83" t="n">
        <x:v>4</x:v>
      </x:c>
      <x:c r="K4" s="83" t="n">
        <x:v>5</x:v>
      </x:c>
      <x:c r="L4" s="83" t="n">
        <x:v>6</x:v>
      </x:c>
      <x:c r="M4" s="83" t="n">
        <x:v>7</x:v>
      </x:c>
      <x:c r="N4" s="83" t="n">
        <x:v>8</x:v>
      </x:c>
      <x:c r="O4" s="83" t="n">
        <x:v>9</x:v>
      </x:c>
      <x:c r="P4" s="83" t="n">
        <x:v>10</x:v>
      </x:c>
      <x:c r="Q4" s="83" t="n">
        <x:v>11</x:v>
      </x:c>
      <x:c r="R4" s="84" t="n">
        <x:v>12</x:v>
      </x:c>
    </x:row>
    <x:row r="5" ht="33" customHeight="1">
      <x:c r="A5" s="96" t="str">
        <x:v>Q4-00</x:v>
      </x:c>
      <x:c r="B5" s="90" t="str">
        <x:v>指标口径、金标集与试点准备</x:v>
      </x:c>
      <x:c r="C5" s="96" t="str">
        <x:v>PM / 数据</x:v>
      </x:c>
      <x:c r="D5" s="96" t="str">
        <x:v>P0</x:v>
      </x:c>
      <x:c r="E5" s="96" t="n">
        <x:v>1</x:v>
      </x:c>
      <x:c r="F5" s="96" t="n">
        <x:v>2</x:v>
      </x:c>
      <x:c r="G5" s="114" t="n">
        <x:f>IF(AND(G$4&gt;=$E5,G$4&lt;=$F5),1,0)</x:f>
        <x:v>1</x:v>
      </x:c>
      <x:c r="H5" s="114" t="n">
        <x:f>IF(AND(H$4&gt;=$E5,H$4&lt;=$F5),1,0)</x:f>
        <x:v>1</x:v>
      </x:c>
      <x:c r="I5" s="114" t="n">
        <x:f>IF(AND(I$4&gt;=$E5,I$4&lt;=$F5),1,0)</x:f>
        <x:v>0</x:v>
      </x:c>
      <x:c r="J5" s="114" t="n">
        <x:f>IF(AND(J$4&gt;=$E5,J$4&lt;=$F5),1,0)</x:f>
        <x:v>0</x:v>
      </x:c>
      <x:c r="K5" s="114" t="n">
        <x:f>IF(AND(K$4&gt;=$E5,K$4&lt;=$F5),1,0)</x:f>
        <x:v>0</x:v>
      </x:c>
      <x:c r="L5" s="114" t="n">
        <x:f>IF(AND(L$4&gt;=$E5,L$4&lt;=$F5),1,0)</x:f>
        <x:v>0</x:v>
      </x:c>
      <x:c r="M5" s="114" t="n">
        <x:f>IF(AND(M$4&gt;=$E5,M$4&lt;=$F5),1,0)</x:f>
        <x:v>0</x:v>
      </x:c>
      <x:c r="N5" s="114" t="n">
        <x:f>IF(AND(N$4&gt;=$E5,N$4&lt;=$F5),1,0)</x:f>
        <x:v>0</x:v>
      </x:c>
      <x:c r="O5" s="114" t="n">
        <x:f>IF(AND(O$4&gt;=$E5,O$4&lt;=$F5),1,0)</x:f>
        <x:v>0</x:v>
      </x:c>
      <x:c r="P5" s="114" t="n">
        <x:f>IF(AND(P$4&gt;=$E5,P$4&lt;=$F5),1,0)</x:f>
        <x:v>0</x:v>
      </x:c>
      <x:c r="Q5" s="114" t="n">
        <x:f>IF(AND(Q$4&gt;=$E5,Q$4&lt;=$F5),1,0)</x:f>
        <x:v>0</x:v>
      </x:c>
      <x:c r="R5" s="114" t="n">
        <x:f>IF(AND(R$4&gt;=$E5,R$4&lt;=$F5),1,0)</x:f>
        <x:v>0</x:v>
      </x:c>
      <x:c r="S5" s="153" t="str">
        <x:v>数据与运营</x:v>
      </x:c>
    </x:row>
    <x:row r="6" ht="33" customHeight="1">
      <x:c r="A6" s="97" t="str">
        <x:v>Q4-05</x:v>
      </x:c>
      <x:c r="B6" s="91" t="str">
        <x:v>知识源分级、准入与冲突规则</x:v>
      </x:c>
      <x:c r="C6" s="97" t="str">
        <x:v>AI / 后端</x:v>
      </x:c>
      <x:c r="D6" s="97" t="str">
        <x:v>P0</x:v>
      </x:c>
      <x:c r="E6" s="97" t="n">
        <x:v>1</x:v>
      </x:c>
      <x:c r="F6" s="97" t="n">
        <x:v>4</x:v>
      </x:c>
      <x:c r="G6" s="115" t="n">
        <x:f>IF(AND(G$4&gt;=$E6,G$4&lt;=$F6),1,0)</x:f>
        <x:v>1</x:v>
      </x:c>
      <x:c r="H6" s="115" t="n">
        <x:f>IF(AND(H$4&gt;=$E6,H$4&lt;=$F6),1,0)</x:f>
        <x:v>1</x:v>
      </x:c>
      <x:c r="I6" s="115" t="n">
        <x:f>IF(AND(I$4&gt;=$E6,I$4&lt;=$F6),1,0)</x:f>
        <x:v>1</x:v>
      </x:c>
      <x:c r="J6" s="115" t="n">
        <x:f>IF(AND(J$4&gt;=$E6,J$4&lt;=$F6),1,0)</x:f>
        <x:v>1</x:v>
      </x:c>
      <x:c r="K6" s="115" t="n">
        <x:f>IF(AND(K$4&gt;=$E6,K$4&lt;=$F6),1,0)</x:f>
        <x:v>0</x:v>
      </x:c>
      <x:c r="L6" s="115" t="n">
        <x:f>IF(AND(L$4&gt;=$E6,L$4&lt;=$F6),1,0)</x:f>
        <x:v>0</x:v>
      </x:c>
      <x:c r="M6" s="115" t="n">
        <x:f>IF(AND(M$4&gt;=$E6,M$4&lt;=$F6),1,0)</x:f>
        <x:v>0</x:v>
      </x:c>
      <x:c r="N6" s="115" t="n">
        <x:f>IF(AND(N$4&gt;=$E6,N$4&lt;=$F6),1,0)</x:f>
        <x:v>0</x:v>
      </x:c>
      <x:c r="O6" s="115" t="n">
        <x:f>IF(AND(O$4&gt;=$E6,O$4&lt;=$F6),1,0)</x:f>
        <x:v>0</x:v>
      </x:c>
      <x:c r="P6" s="115" t="n">
        <x:f>IF(AND(P$4&gt;=$E6,P$4&lt;=$F6),1,0)</x:f>
        <x:v>0</x:v>
      </x:c>
      <x:c r="Q6" s="115" t="n">
        <x:f>IF(AND(Q$4&gt;=$E6,Q$4&lt;=$F6),1,0)</x:f>
        <x:v>0</x:v>
      </x:c>
      <x:c r="R6" s="115" t="n">
        <x:f>IF(AND(R$4&gt;=$E6,R$4&lt;=$F6),1,0)</x:f>
        <x:v>0</x:v>
      </x:c>
      <x:c r="S6" s="153" t="str">
        <x:v>可信与安全</x:v>
      </x:c>
    </x:row>
    <x:row r="7" ht="33" customHeight="1">
      <x:c r="A7" s="97" t="str">
        <x:v>Q4-01</x:v>
      </x:c>
      <x:c r="B7" s="91" t="str">
        <x:v>事实与引用质量门禁</x:v>
      </x:c>
      <x:c r="C7" s="97" t="str">
        <x:v>AI / 测试</x:v>
      </x:c>
      <x:c r="D7" s="97" t="str">
        <x:v>P0</x:v>
      </x:c>
      <x:c r="E7" s="97" t="n">
        <x:v>2</x:v>
      </x:c>
      <x:c r="F7" s="97" t="n">
        <x:v>4</x:v>
      </x:c>
      <x:c r="G7" s="115" t="n">
        <x:f>IF(AND(G$4&gt;=$E7,G$4&lt;=$F7),1,0)</x:f>
        <x:v>0</x:v>
      </x:c>
      <x:c r="H7" s="115" t="n">
        <x:f>IF(AND(H$4&gt;=$E7,H$4&lt;=$F7),1,0)</x:f>
        <x:v>1</x:v>
      </x:c>
      <x:c r="I7" s="115" t="n">
        <x:f>IF(AND(I$4&gt;=$E7,I$4&lt;=$F7),1,0)</x:f>
        <x:v>1</x:v>
      </x:c>
      <x:c r="J7" s="115" t="n">
        <x:f>IF(AND(J$4&gt;=$E7,J$4&lt;=$F7),1,0)</x:f>
        <x:v>1</x:v>
      </x:c>
      <x:c r="K7" s="115" t="n">
        <x:f>IF(AND(K$4&gt;=$E7,K$4&lt;=$F7),1,0)</x:f>
        <x:v>0</x:v>
      </x:c>
      <x:c r="L7" s="115" t="n">
        <x:f>IF(AND(L$4&gt;=$E7,L$4&lt;=$F7),1,0)</x:f>
        <x:v>0</x:v>
      </x:c>
      <x:c r="M7" s="115" t="n">
        <x:f>IF(AND(M$4&gt;=$E7,M$4&lt;=$F7),1,0)</x:f>
        <x:v>0</x:v>
      </x:c>
      <x:c r="N7" s="115" t="n">
        <x:f>IF(AND(N$4&gt;=$E7,N$4&lt;=$F7),1,0)</x:f>
        <x:v>0</x:v>
      </x:c>
      <x:c r="O7" s="115" t="n">
        <x:f>IF(AND(O$4&gt;=$E7,O$4&lt;=$F7),1,0)</x:f>
        <x:v>0</x:v>
      </x:c>
      <x:c r="P7" s="115" t="n">
        <x:f>IF(AND(P$4&gt;=$E7,P$4&lt;=$F7),1,0)</x:f>
        <x:v>0</x:v>
      </x:c>
      <x:c r="Q7" s="115" t="n">
        <x:f>IF(AND(Q$4&gt;=$E7,Q$4&lt;=$F7),1,0)</x:f>
        <x:v>0</x:v>
      </x:c>
      <x:c r="R7" s="115" t="n">
        <x:f>IF(AND(R$4&gt;=$E7,R$4&lt;=$F7),1,0)</x:f>
        <x:v>0</x:v>
      </x:c>
      <x:c r="S7" s="153" t="str">
        <x:v>可信与安全</x:v>
      </x:c>
    </x:row>
    <x:row r="8" ht="33" customHeight="1">
      <x:c r="A8" s="97" t="str">
        <x:v>Q4-02</x:v>
      </x:c>
      <x:c r="B8" s="91" t="str">
        <x:v>埋点、反馈入口与试点看板</x:v>
      </x:c>
      <x:c r="C8" s="97" t="str">
        <x:v>PM / 前端</x:v>
      </x:c>
      <x:c r="D8" s="97" t="str">
        <x:v>P0</x:v>
      </x:c>
      <x:c r="E8" s="97" t="n">
        <x:v>2</x:v>
      </x:c>
      <x:c r="F8" s="97" t="n">
        <x:v>6</x:v>
      </x:c>
      <x:c r="G8" s="115" t="n">
        <x:f>IF(AND(G$4&gt;=$E8,G$4&lt;=$F8),1,0)</x:f>
        <x:v>0</x:v>
      </x:c>
      <x:c r="H8" s="115" t="n">
        <x:f>IF(AND(H$4&gt;=$E8,H$4&lt;=$F8),1,0)</x:f>
        <x:v>1</x:v>
      </x:c>
      <x:c r="I8" s="115" t="n">
        <x:f>IF(AND(I$4&gt;=$E8,I$4&lt;=$F8),1,0)</x:f>
        <x:v>1</x:v>
      </x:c>
      <x:c r="J8" s="115" t="n">
        <x:f>IF(AND(J$4&gt;=$E8,J$4&lt;=$F8),1,0)</x:f>
        <x:v>1</x:v>
      </x:c>
      <x:c r="K8" s="115" t="n">
        <x:f>IF(AND(K$4&gt;=$E8,K$4&lt;=$F8),1,0)</x:f>
        <x:v>1</x:v>
      </x:c>
      <x:c r="L8" s="115" t="n">
        <x:f>IF(AND(L$4&gt;=$E8,L$4&lt;=$F8),1,0)</x:f>
        <x:v>1</x:v>
      </x:c>
      <x:c r="M8" s="115" t="n">
        <x:f>IF(AND(M$4&gt;=$E8,M$4&lt;=$F8),1,0)</x:f>
        <x:v>0</x:v>
      </x:c>
      <x:c r="N8" s="115" t="n">
        <x:f>IF(AND(N$4&gt;=$E8,N$4&lt;=$F8),1,0)</x:f>
        <x:v>0</x:v>
      </x:c>
      <x:c r="O8" s="115" t="n">
        <x:f>IF(AND(O$4&gt;=$E8,O$4&lt;=$F8),1,0)</x:f>
        <x:v>0</x:v>
      </x:c>
      <x:c r="P8" s="115" t="n">
        <x:f>IF(AND(P$4&gt;=$E8,P$4&lt;=$F8),1,0)</x:f>
        <x:v>0</x:v>
      </x:c>
      <x:c r="Q8" s="115" t="n">
        <x:f>IF(AND(Q$4&gt;=$E8,Q$4&lt;=$F8),1,0)</x:f>
        <x:v>0</x:v>
      </x:c>
      <x:c r="R8" s="115" t="n">
        <x:f>IF(AND(R$4&gt;=$E8,R$4&lt;=$F8),1,0)</x:f>
        <x:v>0</x:v>
      </x:c>
      <x:c r="S8" s="153" t="str">
        <x:v>数据与运营</x:v>
      </x:c>
    </x:row>
    <x:row r="9" ht="33" customHeight="1">
      <x:c r="A9" s="97" t="str">
        <x:v>Q4-03</x:v>
      </x:c>
      <x:c r="B9" s="91" t="str">
        <x:v>安全运营/管理/修复三类模板</x:v>
      </x:c>
      <x:c r="C9" s="97" t="str">
        <x:v>PM / 前端</x:v>
      </x:c>
      <x:c r="D9" s="97" t="str">
        <x:v>P0</x:v>
      </x:c>
      <x:c r="E9" s="97" t="n">
        <x:v>4</x:v>
      </x:c>
      <x:c r="F9" s="97" t="n">
        <x:v>6</x:v>
      </x:c>
      <x:c r="G9" s="115" t="n">
        <x:f>IF(AND(G$4&gt;=$E9,G$4&lt;=$F9),1,0)</x:f>
        <x:v>0</x:v>
      </x:c>
      <x:c r="H9" s="115" t="n">
        <x:f>IF(AND(H$4&gt;=$E9,H$4&lt;=$F9),1,0)</x:f>
        <x:v>0</x:v>
      </x:c>
      <x:c r="I9" s="115" t="n">
        <x:f>IF(AND(I$4&gt;=$E9,I$4&lt;=$F9),1,0)</x:f>
        <x:v>0</x:v>
      </x:c>
      <x:c r="J9" s="115" t="n">
        <x:f>IF(AND(J$4&gt;=$E9,J$4&lt;=$F9),1,0)</x:f>
        <x:v>1</x:v>
      </x:c>
      <x:c r="K9" s="115" t="n">
        <x:f>IF(AND(K$4&gt;=$E9,K$4&lt;=$F9),1,0)</x:f>
        <x:v>1</x:v>
      </x:c>
      <x:c r="L9" s="115" t="n">
        <x:f>IF(AND(L$4&gt;=$E9,L$4&lt;=$F9),1,0)</x:f>
        <x:v>1</x:v>
      </x:c>
      <x:c r="M9" s="115" t="n">
        <x:f>IF(AND(M$4&gt;=$E9,M$4&lt;=$F9),1,0)</x:f>
        <x:v>0</x:v>
      </x:c>
      <x:c r="N9" s="115" t="n">
        <x:f>IF(AND(N$4&gt;=$E9,N$4&lt;=$F9),1,0)</x:f>
        <x:v>0</x:v>
      </x:c>
      <x:c r="O9" s="115" t="n">
        <x:f>IF(AND(O$4&gt;=$E9,O$4&lt;=$F9),1,0)</x:f>
        <x:v>0</x:v>
      </x:c>
      <x:c r="P9" s="115" t="n">
        <x:f>IF(AND(P$4&gt;=$E9,P$4&lt;=$F9),1,0)</x:f>
        <x:v>0</x:v>
      </x:c>
      <x:c r="Q9" s="115" t="n">
        <x:f>IF(AND(Q$4&gt;=$E9,Q$4&lt;=$F9),1,0)</x:f>
        <x:v>0</x:v>
      </x:c>
      <x:c r="R9" s="115" t="n">
        <x:f>IF(AND(R$4&gt;=$E9,R$4&lt;=$F9),1,0)</x:f>
        <x:v>0</x:v>
      </x:c>
      <x:c r="S9" s="153" t="str">
        <x:v>用户体验</x:v>
      </x:c>
    </x:row>
    <x:row r="10" ht="33" customHeight="1">
      <x:c r="A10" s="97" t="str">
        <x:v>Q4-04</x:v>
      </x:c>
      <x:c r="B10" s="91" t="str">
        <x:v>报告关联工单与人工确认</x:v>
      </x:c>
      <x:c r="C10" s="97" t="str">
        <x:v>后端 / 前端</x:v>
      </x:c>
      <x:c r="D10" s="97" t="str">
        <x:v>P0</x:v>
      </x:c>
      <x:c r="E10" s="97" t="n">
        <x:v>6</x:v>
      </x:c>
      <x:c r="F10" s="97" t="n">
        <x:v>9</x:v>
      </x:c>
      <x:c r="G10" s="115" t="n">
        <x:f>IF(AND(G$4&gt;=$E10,G$4&lt;=$F10),1,0)</x:f>
        <x:v>0</x:v>
      </x:c>
      <x:c r="H10" s="115" t="n">
        <x:f>IF(AND(H$4&gt;=$E10,H$4&lt;=$F10),1,0)</x:f>
        <x:v>0</x:v>
      </x:c>
      <x:c r="I10" s="115" t="n">
        <x:f>IF(AND(I$4&gt;=$E10,I$4&lt;=$F10),1,0)</x:f>
        <x:v>0</x:v>
      </x:c>
      <x:c r="J10" s="115" t="n">
        <x:f>IF(AND(J$4&gt;=$E10,J$4&lt;=$F10),1,0)</x:f>
        <x:v>0</x:v>
      </x:c>
      <x:c r="K10" s="115" t="n">
        <x:f>IF(AND(K$4&gt;=$E10,K$4&lt;=$F10),1,0)</x:f>
        <x:v>0</x:v>
      </x:c>
      <x:c r="L10" s="115" t="n">
        <x:f>IF(AND(L$4&gt;=$E10,L$4&lt;=$F10),1,0)</x:f>
        <x:v>1</x:v>
      </x:c>
      <x:c r="M10" s="115" t="n">
        <x:f>IF(AND(M$4&gt;=$E10,M$4&lt;=$F10),1,0)</x:f>
        <x:v>1</x:v>
      </x:c>
      <x:c r="N10" s="115" t="n">
        <x:f>IF(AND(N$4&gt;=$E10,N$4&lt;=$F10),1,0)</x:f>
        <x:v>1</x:v>
      </x:c>
      <x:c r="O10" s="115" t="n">
        <x:f>IF(AND(O$4&gt;=$E10,O$4&lt;=$F10),1,0)</x:f>
        <x:v>1</x:v>
      </x:c>
      <x:c r="P10" s="115" t="n">
        <x:f>IF(AND(P$4&gt;=$E10,P$4&lt;=$F10),1,0)</x:f>
        <x:v>0</x:v>
      </x:c>
      <x:c r="Q10" s="115" t="n">
        <x:f>IF(AND(Q$4&gt;=$E10,Q$4&lt;=$F10),1,0)</x:f>
        <x:v>0</x:v>
      </x:c>
      <x:c r="R10" s="115" t="n">
        <x:f>IF(AND(R$4&gt;=$E10,R$4&lt;=$F10),1,0)</x:f>
        <x:v>0</x:v>
      </x:c>
      <x:c r="S10" s="153" t="str">
        <x:v>处置协同</x:v>
      </x:c>
    </x:row>
    <x:row r="11" ht="33" customHeight="1">
      <x:c r="A11" s="97" t="str">
        <x:v>Q4-06</x:v>
      </x:c>
      <x:c r="B11" s="91" t="str">
        <x:v>批量生成队列、重试与降级</x:v>
      </x:c>
      <x:c r="C11" s="97" t="str">
        <x:v>后端 / AI</x:v>
      </x:c>
      <x:c r="D11" s="97" t="str">
        <x:v>P1</x:v>
      </x:c>
      <x:c r="E11" s="97" t="n">
        <x:v>8</x:v>
      </x:c>
      <x:c r="F11" s="97" t="n">
        <x:v>10</x:v>
      </x:c>
      <x:c r="G11" s="115" t="n">
        <x:f>IF(AND(G$4&gt;=$E11,G$4&lt;=$F11),1,0)</x:f>
        <x:v>0</x:v>
      </x:c>
      <x:c r="H11" s="115" t="n">
        <x:f>IF(AND(H$4&gt;=$E11,H$4&lt;=$F11),1,0)</x:f>
        <x:v>0</x:v>
      </x:c>
      <x:c r="I11" s="115" t="n">
        <x:f>IF(AND(I$4&gt;=$E11,I$4&lt;=$F11),1,0)</x:f>
        <x:v>0</x:v>
      </x:c>
      <x:c r="J11" s="115" t="n">
        <x:f>IF(AND(J$4&gt;=$E11,J$4&lt;=$F11),1,0)</x:f>
        <x:v>0</x:v>
      </x:c>
      <x:c r="K11" s="115" t="n">
        <x:f>IF(AND(K$4&gt;=$E11,K$4&lt;=$F11),1,0)</x:f>
        <x:v>0</x:v>
      </x:c>
      <x:c r="L11" s="115" t="n">
        <x:f>IF(AND(L$4&gt;=$E11,L$4&lt;=$F11),1,0)</x:f>
        <x:v>0</x:v>
      </x:c>
      <x:c r="M11" s="115" t="n">
        <x:f>IF(AND(M$4&gt;=$E11,M$4&lt;=$F11),1,0)</x:f>
        <x:v>0</x:v>
      </x:c>
      <x:c r="N11" s="115" t="n">
        <x:f>IF(AND(N$4&gt;=$E11,N$4&lt;=$F11),1,0)</x:f>
        <x:v>1</x:v>
      </x:c>
      <x:c r="O11" s="115" t="n">
        <x:f>IF(AND(O$4&gt;=$E11,O$4&lt;=$F11),1,0)</x:f>
        <x:v>1</x:v>
      </x:c>
      <x:c r="P11" s="115" t="n">
        <x:f>IF(AND(P$4&gt;=$E11,P$4&lt;=$F11),1,0)</x:f>
        <x:v>1</x:v>
      </x:c>
      <x:c r="Q11" s="115" t="n">
        <x:f>IF(AND(Q$4&gt;=$E11,Q$4&lt;=$F11),1,0)</x:f>
        <x:v>0</x:v>
      </x:c>
      <x:c r="R11" s="115" t="n">
        <x:f>IF(AND(R$4&gt;=$E11,R$4&lt;=$F11),1,0)</x:f>
        <x:v>0</x:v>
      </x:c>
      <x:c r="S11" s="153" t="str">
        <x:v>平台能力</x:v>
      </x:c>
    </x:row>
    <x:row r="12" ht="33" customHeight="1">
      <x:c r="A12" s="97" t="str">
        <x:v>Q4-07</x:v>
      </x:c>
      <x:c r="B12" s="91" t="str">
        <x:v>版本差异、确认记录与审计</x:v>
      </x:c>
      <x:c r="C12" s="97" t="str">
        <x:v>后端 / 前端</x:v>
      </x:c>
      <x:c r="D12" s="97" t="str">
        <x:v>P1</x:v>
      </x:c>
      <x:c r="E12" s="97" t="n">
        <x:v>9</x:v>
      </x:c>
      <x:c r="F12" s="97" t="n">
        <x:v>11</x:v>
      </x:c>
      <x:c r="G12" s="115" t="n">
        <x:f>IF(AND(G$4&gt;=$E12,G$4&lt;=$F12),1,0)</x:f>
        <x:v>0</x:v>
      </x:c>
      <x:c r="H12" s="115" t="n">
        <x:f>IF(AND(H$4&gt;=$E12,H$4&lt;=$F12),1,0)</x:f>
        <x:v>0</x:v>
      </x:c>
      <x:c r="I12" s="115" t="n">
        <x:f>IF(AND(I$4&gt;=$E12,I$4&lt;=$F12),1,0)</x:f>
        <x:v>0</x:v>
      </x:c>
      <x:c r="J12" s="115" t="n">
        <x:f>IF(AND(J$4&gt;=$E12,J$4&lt;=$F12),1,0)</x:f>
        <x:v>0</x:v>
      </x:c>
      <x:c r="K12" s="115" t="n">
        <x:f>IF(AND(K$4&gt;=$E12,K$4&lt;=$F12),1,0)</x:f>
        <x:v>0</x:v>
      </x:c>
      <x:c r="L12" s="115" t="n">
        <x:f>IF(AND(L$4&gt;=$E12,L$4&lt;=$F12),1,0)</x:f>
        <x:v>0</x:v>
      </x:c>
      <x:c r="M12" s="115" t="n">
        <x:f>IF(AND(M$4&gt;=$E12,M$4&lt;=$F12),1,0)</x:f>
        <x:v>0</x:v>
      </x:c>
      <x:c r="N12" s="115" t="n">
        <x:f>IF(AND(N$4&gt;=$E12,N$4&lt;=$F12),1,0)</x:f>
        <x:v>0</x:v>
      </x:c>
      <x:c r="O12" s="115" t="n">
        <x:f>IF(AND(O$4&gt;=$E12,O$4&lt;=$F12),1,0)</x:f>
        <x:v>1</x:v>
      </x:c>
      <x:c r="P12" s="115" t="n">
        <x:f>IF(AND(P$4&gt;=$E12,P$4&lt;=$F12),1,0)</x:f>
        <x:v>1</x:v>
      </x:c>
      <x:c r="Q12" s="115" t="n">
        <x:f>IF(AND(Q$4&gt;=$E12,Q$4&lt;=$F12),1,0)</x:f>
        <x:v>1</x:v>
      </x:c>
      <x:c r="R12" s="115" t="n">
        <x:f>IF(AND(R$4&gt;=$E12,R$4&lt;=$F12),1,0)</x:f>
        <x:v>0</x:v>
      </x:c>
      <x:c r="S12" s="153" t="str">
        <x:v>处置协同</x:v>
      </x:c>
    </x:row>
    <x:row r="13" ht="33" customHeight="1">
      <x:c r="A13" s="97" t="str">
        <x:v>Q4-11</x:v>
      </x:c>
      <x:c r="B13" s="91" t="str">
        <x:v>试点验收、复盘与 GA 决策</x:v>
      </x:c>
      <x:c r="C13" s="97" t="str">
        <x:v>全员</x:v>
      </x:c>
      <x:c r="D13" s="97" t="str">
        <x:v>P0</x:v>
      </x:c>
      <x:c r="E13" s="97" t="n">
        <x:v>11</x:v>
      </x:c>
      <x:c r="F13" s="97" t="n">
        <x:v>12</x:v>
      </x:c>
      <x:c r="G13" s="115" t="n">
        <x:f>IF(AND(G$4&gt;=$E13,G$4&lt;=$F13),1,0)</x:f>
        <x:v>0</x:v>
      </x:c>
      <x:c r="H13" s="115" t="n">
        <x:f>IF(AND(H$4&gt;=$E13,H$4&lt;=$F13),1,0)</x:f>
        <x:v>0</x:v>
      </x:c>
      <x:c r="I13" s="115" t="n">
        <x:f>IF(AND(I$4&gt;=$E13,I$4&lt;=$F13),1,0)</x:f>
        <x:v>0</x:v>
      </x:c>
      <x:c r="J13" s="115" t="n">
        <x:f>IF(AND(J$4&gt;=$E13,J$4&lt;=$F13),1,0)</x:f>
        <x:v>0</x:v>
      </x:c>
      <x:c r="K13" s="115" t="n">
        <x:f>IF(AND(K$4&gt;=$E13,K$4&lt;=$F13),1,0)</x:f>
        <x:v>0</x:v>
      </x:c>
      <x:c r="L13" s="115" t="n">
        <x:f>IF(AND(L$4&gt;=$E13,L$4&lt;=$F13),1,0)</x:f>
        <x:v>0</x:v>
      </x:c>
      <x:c r="M13" s="115" t="n">
        <x:f>IF(AND(M$4&gt;=$E13,M$4&lt;=$F13),1,0)</x:f>
        <x:v>0</x:v>
      </x:c>
      <x:c r="N13" s="115" t="n">
        <x:f>IF(AND(N$4&gt;=$E13,N$4&lt;=$F13),1,0)</x:f>
        <x:v>0</x:v>
      </x:c>
      <x:c r="O13" s="115" t="n">
        <x:f>IF(AND(O$4&gt;=$E13,O$4&lt;=$F13),1,0)</x:f>
        <x:v>0</x:v>
      </x:c>
      <x:c r="P13" s="115" t="n">
        <x:f>IF(AND(P$4&gt;=$E13,P$4&lt;=$F13),1,0)</x:f>
        <x:v>0</x:v>
      </x:c>
      <x:c r="Q13" s="115" t="n">
        <x:f>IF(AND(Q$4&gt;=$E13,Q$4&lt;=$F13),1,0)</x:f>
        <x:v>1</x:v>
      </x:c>
      <x:c r="R13" s="115" t="n">
        <x:f>IF(AND(R$4&gt;=$E13,R$4&lt;=$F13),1,0)</x:f>
        <x:v>1</x:v>
      </x:c>
      <x:c r="S13" s="153" t="str">
        <x:v>数据与运营</x:v>
      </x:c>
    </x:row>
    <x:row r="14" ht="27" customHeight="1"/>
    <x:row r="15" ht="27" customHeight="1">
      <x:c r="A15" s="9" t="str">
        <x:v>里程碑</x:v>
      </x:c>
    </x:row>
    <x:row r="16" ht="27" customHeight="1">
      <x:c r="A16" s="147" t="str">
        <x:v>M1</x:v>
      </x:c>
      <x:c r="B16" s="150" t="str">
        <x:v>W2</x:v>
      </x:c>
      <x:c r="C16" s="133" t="str">
        <x:v>方案与指标评审通过</x:v>
      </x:c>
      <x:c r="D16" s="133" t="str">
        <x:v>口径、金标集、试点名单确认</x:v>
      </x:c>
      <x:c r="E16" s="133"/>
      <x:c r="F16" s="133"/>
      <x:c r="G16" s="133"/>
      <x:c r="H16" s="133"/>
      <x:c r="I16" s="133"/>
      <x:c r="J16" s="133"/>
      <x:c r="K16" s="133"/>
      <x:c r="L16" s="133"/>
      <x:c r="M16" s="133"/>
      <x:c r="N16" s="133"/>
      <x:c r="O16" s="133"/>
      <x:c r="P16" s="133"/>
      <x:c r="Q16" s="133"/>
      <x:c r="R16" s="134"/>
    </x:row>
    <x:row r="17" ht="27" customHeight="1">
      <x:c r="A17" s="148" t="str">
        <x:v>M2</x:v>
      </x:c>
      <x:c r="B17" s="58" t="str">
        <x:v>W4</x:v>
      </x:c>
      <x:c r="C17" s="136" t="str">
        <x:v>可信质量 Alpha</x:v>
      </x:c>
      <x:c r="D17" s="136" t="str">
        <x:v>事实准确率/引用有效率达到内测门槛</x:v>
      </x:c>
      <x:c r="E17" s="136"/>
      <x:c r="F17" s="136"/>
      <x:c r="G17" s="136"/>
      <x:c r="H17" s="136"/>
      <x:c r="I17" s="136"/>
      <x:c r="J17" s="136"/>
      <x:c r="K17" s="136"/>
      <x:c r="L17" s="136"/>
      <x:c r="M17" s="136"/>
      <x:c r="N17" s="136"/>
      <x:c r="O17" s="136"/>
      <x:c r="P17" s="136"/>
      <x:c r="Q17" s="136"/>
      <x:c r="R17" s="137"/>
    </x:row>
    <x:row r="18" ht="27" customHeight="1">
      <x:c r="A18" s="148" t="str">
        <x:v>M3</x:v>
      </x:c>
      <x:c r="B18" s="58" t="str">
        <x:v>W6</x:v>
      </x:c>
      <x:c r="C18" s="136" t="str">
        <x:v>封闭试点</x:v>
      </x:c>
      <x:c r="D18" s="136" t="str">
        <x:v>三类模板上线，≥10 名试点用户</x:v>
      </x:c>
      <x:c r="E18" s="136"/>
      <x:c r="F18" s="136"/>
      <x:c r="G18" s="136"/>
      <x:c r="H18" s="136"/>
      <x:c r="I18" s="136"/>
      <x:c r="J18" s="136"/>
      <x:c r="K18" s="136"/>
      <x:c r="L18" s="136"/>
      <x:c r="M18" s="136"/>
      <x:c r="N18" s="136"/>
      <x:c r="O18" s="136"/>
      <x:c r="P18" s="136"/>
      <x:c r="Q18" s="136"/>
      <x:c r="R18" s="137"/>
    </x:row>
    <x:row r="19" ht="27" customHeight="1">
      <x:c r="A19" s="148" t="str">
        <x:v>M4</x:v>
      </x:c>
      <x:c r="B19" s="58" t="str">
        <x:v>W9</x:v>
      </x:c>
      <x:c r="C19" s="136" t="str">
        <x:v>处置协同 Beta</x:v>
      </x:c>
      <x:c r="D19" s="136" t="str">
        <x:v>报告可关联工单，写操作保持人工确认</x:v>
      </x:c>
      <x:c r="E19" s="136"/>
      <x:c r="F19" s="136"/>
      <x:c r="G19" s="136"/>
      <x:c r="H19" s="136"/>
      <x:c r="I19" s="136"/>
      <x:c r="J19" s="136"/>
      <x:c r="K19" s="136"/>
      <x:c r="L19" s="136"/>
      <x:c r="M19" s="136"/>
      <x:c r="N19" s="136"/>
      <x:c r="O19" s="136"/>
      <x:c r="P19" s="136"/>
      <x:c r="Q19" s="136"/>
      <x:c r="R19" s="137"/>
    </x:row>
    <x:row r="20" ht="27" customHeight="1">
      <x:c r="A20" s="149" t="str">
        <x:v>M5</x:v>
      </x:c>
      <x:c r="B20" s="151" t="str">
        <x:v>W12</x:v>
      </x:c>
      <x:c r="C20" s="139" t="str">
        <x:v>季度验收</x:v>
      </x:c>
      <x:c r="D20" s="139" t="str">
        <x:v>依据核心指标做 GA/继续试点/调整决策</x:v>
      </x:c>
      <x:c r="E20" s="139"/>
      <x:c r="F20" s="139"/>
      <x:c r="G20" s="139"/>
      <x:c r="H20" s="139"/>
      <x:c r="I20" s="139"/>
      <x:c r="J20" s="139"/>
      <x:c r="K20" s="139"/>
      <x:c r="L20" s="139"/>
      <x:c r="M20" s="139"/>
      <x:c r="N20" s="139"/>
      <x:c r="O20" s="139"/>
      <x:c r="P20" s="139"/>
      <x:c r="Q20" s="139"/>
      <x:c r="R20" s="140"/>
    </x:row>
  </x:sheetData>
  <x:mergeCells>
    <x:mergeCell ref="A1:R2"/>
    <x:mergeCell ref="G3:J3"/>
    <x:mergeCell ref="K3:N3"/>
    <x:mergeCell ref="O3:R3"/>
    <x:mergeCell ref="A15:R15"/>
    <x:mergeCell ref="D16:R16"/>
    <x:mergeCell ref="D17:R17"/>
    <x:mergeCell ref="D18:R18"/>
    <x:mergeCell ref="D19:R19"/>
    <x:mergeCell ref="D20:R20"/>
  </x:mergeCells>
  <x:conditionalFormatting sqref="G5:R13">
    <x:cfRule type="expression" dxfId="4" priority="1">
      <x:formula>AND(G$4&gt;=$E5,G$4&lt;=$F5,$S5="可信与安全")</x:formula>
    </x:cfRule>
    <x:cfRule type="expression" dxfId="5" priority="2">
      <x:formula>AND(G$4&gt;=$E5,G$4&lt;=$F5,$S5="数据与运营")</x:formula>
    </x:cfRule>
    <x:cfRule type="expression" dxfId="6" priority="3">
      <x:formula>AND(G$4&gt;=$E5,G$4&lt;=$F5,$S5="用户体验")</x:formula>
    </x:cfRule>
    <x:cfRule type="expression" dxfId="7" priority="4">
      <x:formula>AND(G$4&gt;=$E5,G$4&lt;=$F5,$S5="处置协同")</x:formula>
    </x:cfRule>
    <x:cfRule type="expression" dxfId="8" priority="5">
      <x:formula>AND(G$4&gt;=$E5,G$4&lt;=$F5,$S5="平台能力")</x:formula>
    </x:cfRule>
  </x:conditionalFormatting>
  <x:dataValidations count="2">
    <x:dataValidation type="list" sqref="D5:D13">
      <x:formula1>"P0,P1,P2"</x:formula1>
    </x:dataValidation>
    <x:dataValidation type="whole" operator="between" sqref="E5:F13">
      <x:formula1>1</x:formula1>
      <x:formula2>12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3" hidden="0" customWidth="1"/>
    <x:col min="4" max="4" width="14" hidden="0" customWidth="1"/>
    <x:col min="5" max="5" width="30" hidden="0" customWidth="1"/>
    <x:col min="6" max="6" width="19" hidden="0" customWidth="1"/>
    <x:col min="7" max="7" width="10" hidden="0" customWidth="1"/>
    <x:col min="8" max="8" width="14" hidden="0" customWidth="1"/>
    <x:col min="9" max="9" width="25" hidden="0" customWidth="1"/>
    <x:col min="10" max="10" width="10" hidden="0" customWidth="1"/>
  </x:cols>
  <x:sheetData>
    <x:row r="1" ht="34" customHeight="1">
      <x:c r="A1" s="4" t="str">
        <x:v>季度指标、里程碑与风险控制
以结果验收，不以功能上线数量验收</x:v>
      </x:c>
    </x:row>
    <x:row r="2" ht="34" customHeight="1"/>
    <x:row r="3" ht="29" customHeight="1"/>
    <x:row r="4" ht="29" customHeight="1">
      <x:c r="A4" s="82" t="str">
        <x:v>维度</x:v>
      </x:c>
      <x:c r="B4" s="83" t="str">
        <x:v>指标</x:v>
      </x:c>
      <x:c r="C4" s="83" t="str">
        <x:v>基线</x:v>
      </x:c>
      <x:c r="D4" s="83" t="str">
        <x:v>Q4目标</x:v>
      </x:c>
      <x:c r="E4" s="83" t="str">
        <x:v>口径</x:v>
      </x:c>
      <x:c r="F4" s="83" t="str">
        <x:v>数据源</x:v>
      </x:c>
      <x:c r="G4" s="83" t="str">
        <x:v>频率</x:v>
      </x:c>
      <x:c r="H4" s="83" t="str">
        <x:v>Owner</x:v>
      </x:c>
      <x:c r="I4" s="83" t="str">
        <x:v>未达标动作</x:v>
      </x:c>
      <x:c r="J4" s="84" t="str">
        <x:v>关联目标</x:v>
      </x:c>
    </x:row>
    <x:row r="5" ht="42" customHeight="1">
      <x:c r="A5" s="158" t="str">
        <x:v>可信</x:v>
      </x:c>
      <x:c r="B5" s="90" t="str">
        <x:v>平台事实准确率</x:v>
      </x:c>
      <x:c r="C5" s="96" t="str">
        <x:v>待建立</x:v>
      </x:c>
      <x:c r="D5" s="96" t="str">
        <x:v>100%</x:v>
      </x:c>
      <x:c r="E5" s="90" t="str">
        <x:v>抽样报告中平台字段与源系统一致项/总项</x:v>
      </x:c>
      <x:c r="F5" s="90" t="str">
        <x:v>质量抽检</x:v>
      </x:c>
      <x:c r="G5" s="96" t="str">
        <x:v>每周</x:v>
      </x:c>
      <x:c r="H5" s="96" t="str">
        <x:v>测试/后端</x:v>
      </x:c>
      <x:c r="I5" s="90" t="str">
        <x:v>阻断发布并回归</x:v>
      </x:c>
      <x:c r="J5" s="96" t="str">
        <x:v>O1</x:v>
      </x:c>
    </x:row>
    <x:row r="6" ht="42" customHeight="1">
      <x:c r="A6" s="159" t="str">
        <x:v>可信</x:v>
      </x:c>
      <x:c r="B6" s="91" t="str">
        <x:v>高风险结论有效引用率</x:v>
      </x:c>
      <x:c r="C6" s="97" t="str">
        <x:v>待建立</x:v>
      </x:c>
      <x:c r="D6" s="97" t="str">
        <x:v>100%</x:v>
      </x:c>
      <x:c r="E6" s="91" t="str">
        <x:v>有有效引用的高风险结论/全部高风险结论</x:v>
      </x:c>
      <x:c r="F6" s="91" t="str">
        <x:v>引用校验日志</x:v>
      </x:c>
      <x:c r="G6" s="97" t="str">
        <x:v>每周</x:v>
      </x:c>
      <x:c r="H6" s="97" t="str">
        <x:v>AI/测试</x:v>
      </x:c>
      <x:c r="I6" s="91" t="str">
        <x:v>降级输出或转人工</x:v>
      </x:c>
      <x:c r="J6" s="97" t="str">
        <x:v>O1</x:v>
      </x:c>
    </x:row>
    <x:row r="7" ht="42" customHeight="1">
      <x:c r="A7" s="159" t="str">
        <x:v>效率</x:v>
      </x:c>
      <x:c r="B7" s="91" t="str">
        <x:v>单份报告平均完成时间</x:v>
      </x:c>
      <x:c r="C7" s="97" t="str">
        <x:v>人工基线</x:v>
      </x:c>
      <x:c r="D7" s="97" t="str">
        <x:v>下降≥60%</x:v>
      </x:c>
      <x:c r="E7" s="91" t="str">
        <x:v>从开始整理到确认导出的有效时长</x:v>
      </x:c>
      <x:c r="F7" s="91" t="str">
        <x:v>埋点+访谈</x:v>
      </x:c>
      <x:c r="G7" s="97" t="str">
        <x:v>双周</x:v>
      </x:c>
      <x:c r="H7" s="97" t="str">
        <x:v>PM/数据</x:v>
      </x:c>
      <x:c r="I7" s="91" t="str">
        <x:v>简化流程或模板</x:v>
      </x:c>
      <x:c r="J7" s="97" t="str">
        <x:v>O2</x:v>
      </x:c>
    </x:row>
    <x:row r="8" ht="42" customHeight="1">
      <x:c r="A8" s="159" t="str">
        <x:v>质量</x:v>
      </x:c>
      <x:c r="B8" s="91" t="str">
        <x:v>必填章节完整率</x:v>
      </x:c>
      <x:c r="C8" s="97" t="str">
        <x:v>待建立</x:v>
      </x:c>
      <x:c r="D8" s="97" t="str">
        <x:v>≥95%</x:v>
      </x:c>
      <x:c r="E8" s="91" t="str">
        <x:v>完整必填章节/应有必填章节</x:v>
      </x:c>
      <x:c r="F8" s="91" t="str">
        <x:v>结构校验</x:v>
      </x:c>
      <x:c r="G8" s="97" t="str">
        <x:v>每周</x:v>
      </x:c>
      <x:c r="H8" s="97" t="str">
        <x:v>后端</x:v>
      </x:c>
      <x:c r="I8" s="91" t="str">
        <x:v>阻断确认</x:v>
      </x:c>
      <x:c r="J8" s="97" t="str">
        <x:v>O2</x:v>
      </x:c>
    </x:row>
    <x:row r="9" ht="42" customHeight="1">
      <x:c r="A9" s="159" t="str">
        <x:v>价值</x:v>
      </x:c>
      <x:c r="B9" s="91" t="str">
        <x:v>试点用户有帮助比例</x:v>
      </x:c>
      <x:c r="C9" s="97" t="str">
        <x:v>无</x:v>
      </x:c>
      <x:c r="D9" s="97" t="str">
        <x:v>≥80%</x:v>
      </x:c>
      <x:c r="E9" s="91" t="str">
        <x:v>有帮助反馈/有效反馈</x:v>
      </x:c>
      <x:c r="F9" s="91" t="str">
        <x:v>反馈入口</x:v>
      </x:c>
      <x:c r="G9" s="97" t="str">
        <x:v>双周</x:v>
      </x:c>
      <x:c r="H9" s="97" t="str">
        <x:v>PM</x:v>
      </x:c>
      <x:c r="I9" s="91" t="str">
        <x:v>访谈并调整场景</x:v>
      </x:c>
      <x:c r="J9" s="97" t="str">
        <x:v>O3</x:v>
      </x:c>
    </x:row>
    <x:row r="10" ht="42" customHeight="1">
      <x:c r="A10" s="159" t="str">
        <x:v>闭环</x:v>
      </x:c>
      <x:c r="B10" s="91" t="str">
        <x:v>报告→工单转化率</x:v>
      </x:c>
      <x:c r="C10" s="97" t="str">
        <x:v>无</x:v>
      </x:c>
      <x:c r="D10" s="97" t="str">
        <x:v>≥60%</x:v>
      </x:c>
      <x:c r="E10" s="91" t="str">
        <x:v>被关联到工单的已确认报告/已确认报告</x:v>
      </x:c>
      <x:c r="F10" s="91" t="str">
        <x:v>报告/工单事件</x:v>
      </x:c>
      <x:c r="G10" s="97" t="str">
        <x:v>双周</x:v>
      </x:c>
      <x:c r="H10" s="97" t="str">
        <x:v>PM/后端</x:v>
      </x:c>
      <x:c r="I10" s="91" t="str">
        <x:v>检查协同断点</x:v>
      </x:c>
      <x:c r="J10" s="97" t="str">
        <x:v>O3</x:v>
      </x:c>
    </x:row>
    <x:row r="11" ht="42" customHeight="1">
      <x:c r="A11" s="159" t="str">
        <x:v>稳定性</x:v>
      </x:c>
      <x:c r="B11" s="91" t="str">
        <x:v>标准报告生成成功率</x:v>
      </x:c>
      <x:c r="C11" s="97" t="str">
        <x:v>原型</x:v>
      </x:c>
      <x:c r="D11" s="97" t="str">
        <x:v>≥98%</x:v>
      </x:c>
      <x:c r="E11" s="91" t="str">
        <x:v>成功生成且通过结构校验/发起次数</x:v>
      </x:c>
      <x:c r="F11" s="91" t="str">
        <x:v>任务日志</x:v>
      </x:c>
      <x:c r="G11" s="97" t="str">
        <x:v>每日</x:v>
      </x:c>
      <x:c r="H11" s="97" t="str">
        <x:v>后端/AI</x:v>
      </x:c>
      <x:c r="I11" s="91" t="str">
        <x:v>重试、降级、限流</x:v>
      </x:c>
      <x:c r="J11" s="97" t="str">
        <x:v>O1</x:v>
      </x:c>
    </x:row>
    <x:row r="12" ht="29" customHeight="1"/>
    <x:row r="13" ht="29" customHeight="1">
      <x:c r="A13" s="82" t="str">
        <x:v>里程碑</x:v>
      </x:c>
      <x:c r="B13" s="83" t="str">
        <x:v>时间</x:v>
      </x:c>
      <x:c r="C13" s="83" t="str">
        <x:v>准入条件</x:v>
      </x:c>
      <x:c r="D13" s="83" t="str">
        <x:v>核心交付</x:v>
      </x:c>
      <x:c r="E13" s="83" t="str">
        <x:v>验收人</x:v>
      </x:c>
      <x:c r="F13" s="84" t="str">
        <x:v>结论</x:v>
      </x:c>
    </x:row>
    <x:row r="14" ht="42" customHeight="1">
      <x:c r="A14" s="162" t="str">
        <x:v>M1 方案评审</x:v>
      </x:c>
      <x:c r="B14" s="96" t="str">
        <x:v>W2</x:v>
      </x:c>
      <x:c r="C14" s="90" t="str">
        <x:v>范围、指标、数据权限方案明确</x:v>
      </x:c>
      <x:c r="D14" s="90" t="str">
        <x:v>金标集/埋点/试点计划</x:v>
      </x:c>
      <x:c r="E14" s="90" t="str">
        <x:v>产品+研发+安全</x:v>
      </x:c>
      <x:c r="F14" s="90" t="str">
        <x:v>继续/调整</x:v>
      </x:c>
    </x:row>
    <x:row r="15" ht="42" customHeight="1">
      <x:c r="A15" s="163" t="str">
        <x:v>M2 Alpha</x:v>
      </x:c>
      <x:c r="B15" s="97" t="str">
        <x:v>W4</x:v>
      </x:c>
      <x:c r="C15" s="91" t="str">
        <x:v>事实与引用门禁达标</x:v>
      </x:c>
      <x:c r="D15" s="91" t="str">
        <x:v>可信生成链路</x:v>
      </x:c>
      <x:c r="E15" s="91" t="str">
        <x:v>安全专家+测试</x:v>
      </x:c>
      <x:c r="F15" s="91" t="str">
        <x:v>进入封闭试点/回退</x:v>
      </x:c>
    </x:row>
    <x:row r="16" ht="42" customHeight="1">
      <x:c r="A16" s="163" t="str">
        <x:v>M3 封闭试点</x:v>
      </x:c>
      <x:c r="B16" s="97" t="str">
        <x:v>W6</x:v>
      </x:c>
      <x:c r="C16" s="91" t="str">
        <x:v>≥10 人、≥30 份有效报告</x:v>
      </x:c>
      <x:c r="D16" s="91" t="str">
        <x:v>模板与反馈闭环</x:v>
      </x:c>
      <x:c r="E16" s="91" t="str">
        <x:v>试点用户+产品</x:v>
      </x:c>
      <x:c r="F16" s="91" t="str">
        <x:v>扩大/调整</x:v>
      </x:c>
    </x:row>
    <x:row r="17" ht="42" customHeight="1">
      <x:c r="A17" s="163" t="str">
        <x:v>M4 Beta</x:v>
      </x:c>
      <x:c r="B17" s="97" t="str">
        <x:v>W9</x:v>
      </x:c>
      <x:c r="C17" s="91" t="str">
        <x:v>权限、审计、人工确认通过</x:v>
      </x:c>
      <x:c r="D17" s="91" t="str">
        <x:v>报告关联工单</x:v>
      </x:c>
      <x:c r="E17" s="91" t="str">
        <x:v>产品+安全+研发</x:v>
      </x:c>
      <x:c r="F17" s="91" t="str">
        <x:v>扩大试点/回退</x:v>
      </x:c>
    </x:row>
    <x:row r="18" ht="42" customHeight="1">
      <x:c r="A18" s="163" t="str">
        <x:v>M5 季度验收</x:v>
      </x:c>
      <x:c r="B18" s="97" t="str">
        <x:v>W12</x:v>
      </x:c>
      <x:c r="C18" s="91" t="str">
        <x:v>核心指标达到目标或有清晰差距解释</x:v>
      </x:c>
      <x:c r="D18" s="91" t="str">
        <x:v>复盘与下季度建议</x:v>
      </x:c>
      <x:c r="E18" s="91" t="str">
        <x:v>Mentor/项目组</x:v>
      </x:c>
      <x:c r="F18" s="91" t="str">
        <x:v>GA/继续试点/停止</x:v>
      </x:c>
    </x:row>
    <x:row r="19" ht="29" customHeight="1"/>
    <x:row r="20" ht="29" customHeight="1">
      <x:c r="A20" s="9" t="str">
        <x:v>Top 风险与应对</x:v>
      </x:c>
    </x:row>
    <x:row r="21" ht="29" customHeight="1">
      <x:c r="A21" s="82" t="str">
        <x:v>风险</x:v>
      </x:c>
      <x:c r="B21" s="83" t="str">
        <x:v>预警信号</x:v>
      </x:c>
      <x:c r="C21" s="83" t="str">
        <x:v>预防措施</x:v>
      </x:c>
      <x:c r="D21" s="83" t="str">
        <x:v>应急动作</x:v>
      </x:c>
      <x:c r="E21" s="84" t="str">
        <x:v>Owner</x:v>
      </x:c>
    </x:row>
    <x:row r="22" ht="42" customHeight="1">
      <x:c r="A22" s="90" t="str">
        <x:v>知识冲突/来源失效</x:v>
      </x:c>
      <x:c r="B22" s="90" t="str">
        <x:v>引用打开失败或结论冲突</x:v>
      </x:c>
      <x:c r="C22" s="90" t="str">
        <x:v>来源分级、快照与有效性巡检</x:v>
      </x:c>
      <x:c r="D22" s="90" t="str">
        <x:v>降级表达并转人工</x:v>
      </x:c>
      <x:c r="E22" s="90" t="str">
        <x:v>AI/安全</x:v>
      </x:c>
    </x:row>
    <x:row r="23" ht="42" customHeight="1">
      <x:c r="A23" s="91" t="str">
        <x:v>平台事实与报告不一致</x:v>
      </x:c>
      <x:c r="B23" s="91" t="str">
        <x:v>字段校验失败</x:v>
      </x:c>
      <x:c r="C23" s="91" t="str">
        <x:v>结构化取数、禁止模型汇总事实</x:v>
      </x:c>
      <x:c r="D23" s="91" t="str">
        <x:v>阻断确认和导出</x:v>
      </x:c>
      <x:c r="E23" s="91" t="str">
        <x:v>后端/测试</x:v>
      </x:c>
    </x:row>
    <x:row r="24" ht="42" customHeight="1">
      <x:c r="A24" s="91" t="str">
        <x:v>试点样本偏小</x:v>
      </x:c>
      <x:c r="B24" s="91" t="str">
        <x:v>反馈高度集中于少数用户</x:v>
      </x:c>
      <x:c r="C24" s="91" t="str">
        <x:v>覆盖不同角色与组织</x:v>
      </x:c>
      <x:c r="D24" s="91" t="str">
        <x:v>延长试点，不做 GA</x:v>
      </x:c>
      <x:c r="E24" s="91" t="str">
        <x:v>PM</x:v>
      </x:c>
    </x:row>
    <x:row r="25" ht="42" customHeight="1">
      <x:c r="A25" s="91" t="str">
        <x:v>需求并行过多</x:v>
      </x:c>
      <x:c r="B25" s="91" t="str">
        <x:v>W4 前关键链路延期</x:v>
      </x:c>
      <x:c r="C25" s="91" t="str">
        <x:v>P0 锁定、P1 设容量上限</x:v>
      </x:c>
      <x:c r="D25" s="91" t="str">
        <x:v>砍 P1，保质量与闭环</x:v>
      </x:c>
      <x:c r="E25" s="91" t="str">
        <x:v>PM/研发</x:v>
      </x:c>
    </x:row>
  </x:sheetData>
  <x:mergeCells>
    <x:mergeCell ref="A1:J2"/>
    <x:mergeCell ref="A20:J20"/>
  </x:mergeCells>
  <x:pageMargins left="0.7" right="0.7" top="0.75" bottom="0.75" header="0.3" footer="0.3"/>
</x:worksheet>
</file>